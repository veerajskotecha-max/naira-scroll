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ings" sheetId="2" state="visible" r:id="rId2"/>
    <sheet name="Buy Shortlist" sheetId="3" state="visible" r:id="rId3"/>
  </sheets>
  <definedNames>
    <definedName name="_xlnm._FilterDatabase" localSheetId="1" hidden="1">'Ratings'!$A$1:$I$148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1A1614"/>
      <sz val="22"/>
    </font>
    <font>
      <name val="Arial"/>
      <i val="1"/>
      <color rgb="006E6660"/>
      <sz val="11"/>
    </font>
    <font>
      <name val="Arial"/>
      <color rgb="006E666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A1614"/>
      <sz val="9"/>
    </font>
    <font>
      <name val="Arial"/>
      <b val="1"/>
      <color rgb="001A1614"/>
      <sz val="10"/>
    </font>
    <font>
      <name val="Arial"/>
      <color rgb="00FFFFFF"/>
      <sz val="10"/>
    </font>
    <font>
      <name val="Arial"/>
      <color rgb="001A1614"/>
      <sz val="10"/>
    </font>
    <font>
      <name val="Arial"/>
      <color rgb="004A4440"/>
      <sz val="9"/>
    </font>
    <font>
      <name val="Arial"/>
      <color rgb="003A342F"/>
      <sz val="9"/>
    </font>
    <font>
      <name val="Arial"/>
      <b val="1"/>
      <color rgb="001A1614"/>
      <sz val="9"/>
    </font>
    <font>
      <name val="Arial"/>
      <color rgb="009A5A48"/>
      <sz val="9"/>
    </font>
    <font>
      <name val="Arial"/>
      <b val="1"/>
      <color rgb="00FFFFFF"/>
      <sz val="9"/>
    </font>
    <font>
      <name val="Arial"/>
      <b val="1"/>
      <color rgb="001A1614"/>
      <sz val="14"/>
    </font>
    <font>
      <name val="Arial"/>
      <i val="1"/>
      <color rgb="006E6660"/>
      <sz val="9"/>
    </font>
    <font>
      <name val="Arial"/>
      <b val="1"/>
      <color rgb="006E6660"/>
      <sz val="9"/>
    </font>
    <font>
      <name val="Arial"/>
      <color rgb="004A4440"/>
      <sz val="8"/>
    </font>
  </fonts>
  <fills count="11">
    <fill>
      <patternFill/>
    </fill>
    <fill>
      <patternFill patternType="gray125"/>
    </fill>
    <fill>
      <patternFill patternType="solid">
        <fgColor rgb="00FFF8F5"/>
      </patternFill>
    </fill>
    <fill>
      <patternFill patternType="solid">
        <fgColor rgb="0099B4AF"/>
      </patternFill>
    </fill>
    <fill>
      <patternFill patternType="solid">
        <fgColor rgb="007A9D97"/>
      </patternFill>
    </fill>
    <fill>
      <patternFill patternType="solid">
        <fgColor rgb="00C8D8D4"/>
      </patternFill>
    </fill>
    <fill>
      <patternFill patternType="solid">
        <fgColor rgb="00FFF3EE"/>
      </patternFill>
    </fill>
    <fill>
      <patternFill patternType="solid">
        <fgColor rgb="00FFE4DA"/>
      </patternFill>
    </fill>
    <fill>
      <patternFill patternType="solid">
        <fgColor rgb="00FFBDA8"/>
      </patternFill>
    </fill>
    <fill>
      <patternFill patternType="solid">
        <fgColor rgb="00EFE7E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DD6"/>
      </left>
      <right style="thin">
        <color rgb="00E8DDD6"/>
      </right>
      <top style="thin">
        <color rgb="00E8DDD6"/>
      </top>
      <bottom style="thin">
        <color rgb="00E8DDD6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8" fillId="4" borderId="1" applyAlignment="1" pivotButton="0" quotePrefix="0" xfId="0">
      <alignment horizontal="center"/>
    </xf>
    <xf numFmtId="164" fontId="8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7" fillId="5" borderId="1" applyAlignment="1" pivotButton="0" quotePrefix="0" xfId="0">
      <alignment horizontal="left"/>
    </xf>
    <xf numFmtId="0" fontId="9" fillId="5" borderId="1" applyAlignment="1" pivotButton="0" quotePrefix="0" xfId="0">
      <alignment horizontal="center"/>
    </xf>
    <xf numFmtId="164" fontId="9" fillId="5" borderId="1" applyAlignment="1" pivotButton="0" quotePrefix="0" xfId="0">
      <alignment horizontal="center"/>
    </xf>
    <xf numFmtId="0" fontId="0" fillId="5" borderId="1" pivotButton="0" quotePrefix="0" xfId="0"/>
    <xf numFmtId="0" fontId="7" fillId="6" borderId="1" applyAlignment="1" pivotButton="0" quotePrefix="0" xfId="0">
      <alignment horizontal="left"/>
    </xf>
    <xf numFmtId="0" fontId="9" fillId="6" borderId="1" applyAlignment="1" pivotButton="0" quotePrefix="0" xfId="0">
      <alignment horizontal="center"/>
    </xf>
    <xf numFmtId="164" fontId="9" fillId="6" borderId="1" applyAlignment="1" pivotButton="0" quotePrefix="0" xfId="0">
      <alignment horizontal="center"/>
    </xf>
    <xf numFmtId="0" fontId="0" fillId="6" borderId="1" pivotButton="0" quotePrefix="0" xfId="0"/>
    <xf numFmtId="0" fontId="7" fillId="7" borderId="1" applyAlignment="1" pivotButton="0" quotePrefix="0" xfId="0">
      <alignment horizontal="left"/>
    </xf>
    <xf numFmtId="0" fontId="9" fillId="7" borderId="1" applyAlignment="1" pivotButton="0" quotePrefix="0" xfId="0">
      <alignment horizontal="center"/>
    </xf>
    <xf numFmtId="164" fontId="9" fillId="7" borderId="1" applyAlignment="1" pivotButton="0" quotePrefix="0" xfId="0">
      <alignment horizontal="center"/>
    </xf>
    <xf numFmtId="0" fontId="0" fillId="7" borderId="1" pivotButton="0" quotePrefix="0" xfId="0"/>
    <xf numFmtId="0" fontId="7" fillId="8" borderId="1" applyAlignment="1" pivotButton="0" quotePrefix="0" xfId="0">
      <alignment horizontal="left"/>
    </xf>
    <xf numFmtId="0" fontId="9" fillId="8" borderId="1" applyAlignment="1" pivotButton="0" quotePrefix="0" xfId="0">
      <alignment horizontal="center"/>
    </xf>
    <xf numFmtId="164" fontId="9" fillId="8" borderId="1" applyAlignment="1" pivotButton="0" quotePrefix="0" xfId="0">
      <alignment horizontal="center"/>
    </xf>
    <xf numFmtId="0" fontId="0" fillId="8" borderId="1" pivotButton="0" quotePrefix="0" xfId="0"/>
    <xf numFmtId="0" fontId="7" fillId="9" borderId="1" applyAlignment="1" pivotButton="0" quotePrefix="0" xfId="0">
      <alignment horizontal="left"/>
    </xf>
    <xf numFmtId="0" fontId="7" fillId="9" borderId="1" applyAlignment="1" pivotButton="0" quotePrefix="0" xfId="0">
      <alignment horizontal="center"/>
    </xf>
    <xf numFmtId="164" fontId="9" fillId="9" borderId="1" applyAlignment="1" pivotButton="0" quotePrefix="0" xfId="0">
      <alignment horizontal="center"/>
    </xf>
    <xf numFmtId="0" fontId="0" fillId="9" borderId="1" pivotButton="0" quotePrefix="0" xfId="0"/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10" fillId="6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18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3" customWidth="1" min="4" max="4"/>
    <col width="13" customWidth="1" min="5" max="5"/>
    <col width="52" customWidth="1" min="6" max="6"/>
    <col width="3" customWidth="1" min="7" max="7"/>
  </cols>
  <sheetData>
    <row r="1" ht="28" customHeight="1"/>
    <row r="2" ht="34" customHeight="1">
      <c r="B2" s="1" t="inlineStr">
        <is>
          <t>NAIRA FLORE</t>
        </is>
      </c>
    </row>
    <row r="3">
      <c r="B3" s="2" t="inlineStr">
        <is>
          <t>Live range, pre-order capsule and Type Audit · market-pull rating · 22 Sep 2026</t>
        </is>
      </c>
    </row>
    <row r="4" ht="40" customHeight="1">
      <c r="B4" s="3" t="inlineStr">
        <is>
          <t>147 Every Naira Flore piece scored on commercial market-pull in the Indian demi-fine band (GIVA, Palmonas, Shaya, Misho tier): 55 live SKUs, the 7-piece pre-order capsule and the 85-row Type Audit range. Pure sellability lens; brand fit, IP proximity and price-band concerns are flags, never a deduction. Each row also carries a photo score out of 10 in the Material column.</t>
        </is>
      </c>
    </row>
    <row r="6" ht="20" customHeight="1">
      <c r="B6" s="4" t="inlineStr">
        <is>
          <t>RATING FRAMEWORK</t>
        </is>
      </c>
      <c r="C6" s="5" t="inlineStr"/>
      <c r="D6" s="5" t="inlineStr"/>
      <c r="E6" s="5" t="inlineStr"/>
      <c r="F6" s="5" t="inlineStr"/>
    </row>
    <row r="7" ht="18" customHeight="1">
      <c r="B7" s="6" t="inlineStr">
        <is>
          <t>9–10</t>
        </is>
      </c>
      <c r="C7" s="7" t="inlineStr">
        <is>
          <t>Hero</t>
        </is>
      </c>
      <c r="D7" s="8" t="inlineStr">
        <is>
          <t>Must-stock. Top-trend motif, broad pull, gift + self-buy.</t>
        </is>
      </c>
    </row>
    <row r="8" ht="18" customHeight="1">
      <c r="B8" s="9" t="inlineStr">
        <is>
          <t>7–8</t>
        </is>
      </c>
      <c r="C8" s="10" t="inlineStr">
        <is>
          <t>Strong</t>
        </is>
      </c>
      <c r="D8" s="11" t="inlineStr">
        <is>
          <t>Core range. Reliable seller, sound margins, on-trend.</t>
        </is>
      </c>
    </row>
    <row r="9" ht="18" customHeight="1">
      <c r="B9" s="12" t="inlineStr">
        <is>
          <t>5–6</t>
        </is>
      </c>
      <c r="C9" s="13" t="inlineStr">
        <is>
          <t>Viable</t>
        </is>
      </c>
      <c r="D9" s="14" t="inlineStr">
        <is>
          <t>Secondary / filler. Pretty but mid demand or narrower buyer.</t>
        </is>
      </c>
    </row>
    <row r="10" ht="18" customHeight="1">
      <c r="B10" s="15" t="inlineStr">
        <is>
          <t>4</t>
        </is>
      </c>
      <c r="C10" s="16" t="inlineStr">
        <is>
          <t>Weak</t>
        </is>
      </c>
      <c r="D10" s="17" t="inlineStr">
        <is>
          <t>Skip unless filling a gap. Young, niche, or fading.</t>
        </is>
      </c>
    </row>
    <row r="11" ht="18" customHeight="1">
      <c r="B11" s="18" t="inlineStr">
        <is>
          <t>1–3</t>
        </is>
      </c>
      <c r="C11" s="19" t="inlineStr">
        <is>
          <t>Exclude</t>
        </is>
      </c>
      <c r="D11" s="20" t="inlineStr">
        <is>
          <t>Off-brand. Novelty, costume, hard-seasonal, or IP risk.</t>
        </is>
      </c>
    </row>
    <row r="13" ht="20" customHeight="1">
      <c r="B13" s="4" t="inlineStr">
        <is>
          <t>TIER DISTRIBUTION</t>
        </is>
      </c>
      <c r="C13" s="21" t="inlineStr">
        <is>
          <t>Count</t>
        </is>
      </c>
      <c r="D13" s="21" t="inlineStr">
        <is>
          <t>% of 147</t>
        </is>
      </c>
      <c r="E13" s="5" t="inlineStr"/>
      <c r="F13" s="5" t="inlineStr"/>
    </row>
    <row r="14">
      <c r="B14" s="22" t="inlineStr">
        <is>
          <t>Hero (9–10)</t>
        </is>
      </c>
      <c r="C14" s="23">
        <f>COUNTIF(Ratings!F:F,"&gt;=9")</f>
        <v/>
      </c>
      <c r="D14" s="24">
        <f>C14/$C$19</f>
        <v/>
      </c>
      <c r="E14" s="25" t="inlineStr"/>
      <c r="F14" s="26" t="n"/>
    </row>
    <row r="15">
      <c r="B15" s="27" t="inlineStr">
        <is>
          <t>Strong (7–8)</t>
        </is>
      </c>
      <c r="C15" s="28">
        <f>COUNTIFS(Ratings!F:F,"&gt;=7",Ratings!F:F,"&lt;9")</f>
        <v/>
      </c>
      <c r="D15" s="29">
        <f>C15/$C$19</f>
        <v/>
      </c>
      <c r="E15" s="30" t="inlineStr"/>
      <c r="F15" s="26" t="n"/>
    </row>
    <row r="16">
      <c r="B16" s="31" t="inlineStr">
        <is>
          <t>Viable (5–6)</t>
        </is>
      </c>
      <c r="C16" s="32">
        <f>COUNTIFS(Ratings!F:F,"&gt;=5",Ratings!F:F,"&lt;7")</f>
        <v/>
      </c>
      <c r="D16" s="33">
        <f>C16/$C$19</f>
        <v/>
      </c>
      <c r="E16" s="34" t="inlineStr"/>
      <c r="F16" s="26" t="n"/>
    </row>
    <row r="17">
      <c r="B17" s="35" t="inlineStr">
        <is>
          <t>Weak (4)</t>
        </is>
      </c>
      <c r="C17" s="36">
        <f>COUNTIF(Ratings!F:F,4)</f>
        <v/>
      </c>
      <c r="D17" s="37">
        <f>C17/$C$19</f>
        <v/>
      </c>
      <c r="E17" s="38" t="inlineStr"/>
      <c r="F17" s="26" t="n"/>
    </row>
    <row r="18">
      <c r="B18" s="39" t="inlineStr">
        <is>
          <t>Exclude (1–3)</t>
        </is>
      </c>
      <c r="C18" s="40">
        <f>COUNTIFS(Ratings!F:F,"&gt;=1",Ratings!F:F,"&lt;4")</f>
        <v/>
      </c>
      <c r="D18" s="41">
        <f>C18/$C$19</f>
        <v/>
      </c>
      <c r="E18" s="42" t="inlineStr"/>
      <c r="F18" s="26" t="n"/>
    </row>
    <row r="19">
      <c r="B19" s="43" t="inlineStr">
        <is>
          <t>Total</t>
        </is>
      </c>
      <c r="C19" s="44">
        <f>SUM(C14:C18)</f>
        <v/>
      </c>
      <c r="D19" s="45">
        <f>C19/$C$19</f>
        <v/>
      </c>
      <c r="E19" s="46" t="inlineStr"/>
      <c r="F19" s="26" t="n"/>
    </row>
    <row r="21" ht="20" customHeight="1">
      <c r="B21" s="47" t="inlineStr">
        <is>
          <t>CATEGORY STRENGTH</t>
        </is>
      </c>
      <c r="C21" s="21" t="inlineStr">
        <is>
          <t>SKUs</t>
        </is>
      </c>
      <c r="D21" s="21" t="inlineStr">
        <is>
          <t>Avg</t>
        </is>
      </c>
      <c r="E21" s="48" t="inlineStr">
        <is>
          <t>Read</t>
        </is>
      </c>
    </row>
    <row r="22" ht="26" customHeight="1">
      <c r="B22" s="31" t="inlineStr">
        <is>
          <t>Earrings</t>
        </is>
      </c>
      <c r="C22" s="32">
        <f>COUNTIF(Ratings!E:E,"Earrings")</f>
        <v/>
      </c>
      <c r="D22" s="32">
        <f>IF(COUNTIF(Ratings!E:E,"Earrings")=0,"",ROUND(AVERAGEIF(Ratings!E:E,"Earrings",Ratings!F:F),1))</f>
        <v/>
      </c>
      <c r="E22" s="49" t="inlineStr">
        <is>
          <t>Hoops, huggies, halo and pearl studs, bows; the deepest pool in both ranges.</t>
        </is>
      </c>
      <c r="F22" s="26" t="n"/>
    </row>
    <row r="23" ht="26" customHeight="1">
      <c r="B23" s="31" t="inlineStr">
        <is>
          <t>Ring</t>
        </is>
      </c>
      <c r="C23" s="32">
        <f>COUNTIF(Ratings!E:E,"Ring")</f>
        <v/>
      </c>
      <c r="D23" s="32">
        <f>IF(COUNTIF(Ratings!E:E,"Ring")=0,"",ROUND(AVERAGEIF(Ratings!E:E,"Ring",Ratings!F:F),1))</f>
        <v/>
      </c>
      <c r="E23" s="49" t="inlineStr">
        <is>
          <t>Halo solitaires, stack bands, bold domes; colourway twins split demand.</t>
        </is>
      </c>
      <c r="F23" s="26" t="n"/>
    </row>
    <row r="24" ht="26" customHeight="1">
      <c r="B24" s="31" t="inlineStr">
        <is>
          <t>Necklace</t>
        </is>
      </c>
      <c r="C24" s="32">
        <f>COUNTIF(Ratings!E:E,"Necklace")</f>
        <v/>
      </c>
      <c r="D24" s="32">
        <f>IF(COUNTIF(Ratings!E:E,"Necklace")=0,"",ROUND(AVERAGEIF(Ratings!E:E,"Necklace",Ratings!F:F),1))</f>
        <v/>
      </c>
      <c r="E24" s="49" t="inlineStr">
        <is>
          <t>Paperclip, tennis, pearl station, clover; seven of fourteen live are out of stock.</t>
        </is>
      </c>
      <c r="F24" s="26" t="n"/>
    </row>
    <row r="25" ht="26" customHeight="1">
      <c r="B25" s="31" t="inlineStr">
        <is>
          <t>Bracelet</t>
        </is>
      </c>
      <c r="C25" s="32">
        <f>COUNTIF(Ratings!E:E,"Bracelet")</f>
        <v/>
      </c>
      <c r="D25" s="32">
        <f>IF(COUNTIF(Ratings!E:E,"Bracelet")=0,"",ROUND(AVERAGEIF(Ratings!E:E,"Bracelet",Ratings!F:F),1))</f>
        <v/>
      </c>
      <c r="E25" s="49" t="inlineStr">
        <is>
          <t>Tennis, paperclip, baroque pearl; seven of twelve live are out of stock.</t>
        </is>
      </c>
      <c r="F25" s="26" t="n"/>
    </row>
    <row r="26" ht="26" customHeight="1">
      <c r="B26" s="31" t="inlineStr">
        <is>
          <t>Bangle</t>
        </is>
      </c>
      <c r="C26" s="32">
        <f>COUNTIF(Ratings!E:E,"Bangle")</f>
        <v/>
      </c>
      <c r="D26" s="32">
        <f>IF(COUNTIF(Ratings!E:E,"Bangle")=0,"",ROUND(AVERAGEIF(Ratings!E:E,"Bangle",Ratings!F:F),1))</f>
        <v/>
      </c>
      <c r="E26" s="49" t="inlineStr">
        <is>
          <t>Only in the audit range; marquise tennis and watch-link bangles are the strongest.</t>
        </is>
      </c>
      <c r="F26" s="26" t="n"/>
    </row>
    <row r="27" ht="26" customHeight="1">
      <c r="B27" s="31" t="inlineStr">
        <is>
          <t>Set</t>
        </is>
      </c>
      <c r="C27" s="32">
        <f>COUNTIF(Ratings!E:E,"Set")</f>
        <v/>
      </c>
      <c r="D27" s="32">
        <f>IF(COUNTIF(Ratings!E:E,"Set")=0,"",ROUND(AVERAGEIF(Ratings!E:E,"Set",Ratings!F:F),1))</f>
        <v/>
      </c>
      <c r="E27" s="49" t="inlineStr">
        <is>
          <t>One live set; gift sets convert on gifting even at lower velocity.</t>
        </is>
      </c>
      <c r="F27" s="26" t="n"/>
    </row>
    <row r="29" ht="20" customHeight="1">
      <c r="B29" s="47" t="inlineStr">
        <is>
          <t>WHAT GETS CUT (consistent exclusions)</t>
        </is>
      </c>
      <c r="C29" s="5" t="inlineStr"/>
      <c r="D29" s="5" t="inlineStr"/>
      <c r="E29" s="5" t="inlineStr"/>
      <c r="F29" s="5" t="inlineStr"/>
    </row>
    <row r="30" ht="26" customHeight="1">
      <c r="B30" s="50" t="inlineStr">
        <is>
          <t>•  Pastel purple and lilac colourways (nine audit rows) read young and narrow the buyer.</t>
        </is>
      </c>
    </row>
    <row r="31" ht="26" customHeight="1">
      <c r="B31" s="50" t="inlineStr">
        <is>
          <t>•  IP-adjacent references (Love screw band, Atlas numerals, Alhambra clover, cable cuff) sell, but carry exposure for a named atelier.</t>
        </is>
      </c>
    </row>
    <row r="32" ht="26" customHeight="1">
      <c r="B32" s="50" t="inlineStr">
        <is>
          <t>•  Ear cuffs are a slow format in India regardless of motif.</t>
        </is>
      </c>
    </row>
    <row r="33" ht="26" customHeight="1">
      <c r="B33" s="50" t="inlineStr">
        <is>
          <t>•  Silver colourway twins of gold designs consistently score one point lower; they split demand rather than add it.</t>
        </is>
      </c>
    </row>
    <row r="34" ht="26" customHeight="1">
      <c r="B34" s="50" t="inlineStr">
        <is>
          <t>•  Raw supplier white-ground images with annotations baked in (eight audit rows) must be reshot before listing.</t>
        </is>
      </c>
    </row>
  </sheetData>
  <mergeCells count="26">
    <mergeCell ref="B4:F4"/>
    <mergeCell ref="D11:F11"/>
    <mergeCell ref="E24:F24"/>
    <mergeCell ref="B3:F3"/>
    <mergeCell ref="E23:F23"/>
    <mergeCell ref="B31:F31"/>
    <mergeCell ref="E14:F14"/>
    <mergeCell ref="D7:F7"/>
    <mergeCell ref="E17:F17"/>
    <mergeCell ref="B2:F2"/>
    <mergeCell ref="E19:F19"/>
    <mergeCell ref="D9:F9"/>
    <mergeCell ref="D8:F8"/>
    <mergeCell ref="E15:F15"/>
    <mergeCell ref="B34:F34"/>
    <mergeCell ref="E27:F27"/>
    <mergeCell ref="E26:F26"/>
    <mergeCell ref="D10:F10"/>
    <mergeCell ref="B30:F30"/>
    <mergeCell ref="E16:F16"/>
    <mergeCell ref="E25:F25"/>
    <mergeCell ref="B33:F33"/>
    <mergeCell ref="E22:F22"/>
    <mergeCell ref="B32:F32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30" customWidth="1" min="4" max="4"/>
    <col width="11" customWidth="1" min="5" max="5"/>
    <col width="8" customWidth="1" min="6" max="6"/>
    <col width="10" customWidth="1" min="7" max="7"/>
    <col width="62" customWidth="1" min="8" max="8"/>
    <col width="18" customWidth="1" min="9" max="9"/>
  </cols>
  <sheetData>
    <row r="1" ht="26" customHeight="1">
      <c r="A1" s="51" t="inlineStr">
        <is>
          <t>#</t>
        </is>
      </c>
      <c r="B1" s="52" t="inlineStr">
        <is>
          <t>Model No.</t>
        </is>
      </c>
      <c r="C1" s="52" t="inlineStr">
        <is>
          <t>Product</t>
        </is>
      </c>
      <c r="D1" s="52" t="inlineStr">
        <is>
          <t>Material / Finish</t>
        </is>
      </c>
      <c r="E1" s="51" t="inlineStr">
        <is>
          <t>Category</t>
        </is>
      </c>
      <c r="F1" s="51" t="inlineStr">
        <is>
          <t>Rating</t>
        </is>
      </c>
      <c r="G1" s="51" t="inlineStr">
        <is>
          <t>Tier</t>
        </is>
      </c>
      <c r="H1" s="52" t="inlineStr">
        <is>
          <t>Commercial rationale</t>
        </is>
      </c>
      <c r="I1" s="52" t="inlineStr">
        <is>
          <t>Flag</t>
        </is>
      </c>
    </row>
    <row r="2" ht="24" customHeight="1">
      <c r="A2" s="53" t="n">
        <v>1</v>
      </c>
      <c r="B2" s="54" t="inlineStr">
        <is>
          <t>LIVE-00</t>
        </is>
      </c>
      <c r="C2" s="55" t="inlineStr">
        <is>
          <t>Dewdrop Bezel Necklace</t>
        </is>
      </c>
      <c r="D2" s="54" t="inlineStr">
        <is>
          <t>Live · Rs 999 · out of stock · photo 6/10</t>
        </is>
      </c>
      <c r="E2" s="53" t="inlineStr">
        <is>
          <t>Necklace</t>
        </is>
      </c>
      <c r="F2" s="9" t="n">
        <v>7</v>
      </c>
      <c r="G2" s="56">
        <f>IF(F2&gt;=9,"Hero",IF(F2&gt;=7,"Strong",IF(F2&gt;=5,"Viable",IF(F2=4,"Weak","Exclude"))))</f>
        <v/>
      </c>
      <c r="H2" s="55" t="inlineStr">
        <is>
          <t>Bezel solitaire pendant on a fine chain is evergreen daily wear and a safe gift. Photo: Piece reads tiny against the cube; needs a closer crop.</t>
        </is>
      </c>
      <c r="I2" s="57" t="inlineStr"/>
    </row>
    <row r="3" ht="24" customHeight="1">
      <c r="A3" s="58" t="n">
        <v>2</v>
      </c>
      <c r="B3" s="59" t="inlineStr">
        <is>
          <t>LIVE-01</t>
        </is>
      </c>
      <c r="C3" s="60" t="inlineStr">
        <is>
          <t>Pearl Legacy Necklace</t>
        </is>
      </c>
      <c r="D3" s="59" t="inlineStr">
        <is>
          <t>Live · Rs 1,799 · in stock · photo 8/10</t>
        </is>
      </c>
      <c r="E3" s="58" t="inlineStr">
        <is>
          <t>Necklace</t>
        </is>
      </c>
      <c r="F3" s="9" t="n">
        <v>8</v>
      </c>
      <c r="G3" s="56">
        <f>IF(F3&gt;=9,"Hero",IF(F3&gt;=7,"Strong",IF(F3&gt;=5,"Viable",IF(F3=4,"Weak","Exclude"))))</f>
        <v/>
      </c>
      <c r="H3" s="60" t="inlineStr">
        <is>
          <t>Baroque pearl choker with a toggle is a live trend and pearl is a top-three motif in the band. Photo: Model shot carries it; scale and drape both read.</t>
        </is>
      </c>
      <c r="I3" s="61" t="inlineStr"/>
    </row>
    <row r="4" ht="24" customHeight="1">
      <c r="A4" s="53" t="n">
        <v>3</v>
      </c>
      <c r="B4" s="54" t="inlineStr">
        <is>
          <t>LIVE-02</t>
        </is>
      </c>
      <c r="C4" s="55" t="inlineStr">
        <is>
          <t>Baroque Shell Bracelet</t>
        </is>
      </c>
      <c r="D4" s="54" t="inlineStr">
        <is>
          <t>Live · Rs 1,799 · in stock · photo 8/10</t>
        </is>
      </c>
      <c r="E4" s="53" t="inlineStr">
        <is>
          <t>Bracelet</t>
        </is>
      </c>
      <c r="F4" s="9" t="n">
        <v>7</v>
      </c>
      <c r="G4" s="56">
        <f>IF(F4&gt;=9,"Hero",IF(F4&gt;=7,"Strong",IF(F4&gt;=5,"Viable",IF(F4=4,"Weak","Exclude"))))</f>
        <v/>
      </c>
      <c r="H4" s="55" t="inlineStr">
        <is>
          <t>Baroque pearl toggle bracelet; pearl pulls broadly, the toggle adds the 'considered' look. Photo: Clean plinth shot, texture of the pearls reads.</t>
        </is>
      </c>
      <c r="I4" s="57" t="inlineStr"/>
    </row>
    <row r="5" ht="24" customHeight="1">
      <c r="A5" s="58" t="n">
        <v>4</v>
      </c>
      <c r="B5" s="59" t="inlineStr">
        <is>
          <t>LIVE-03</t>
        </is>
      </c>
      <c r="C5" s="60" t="inlineStr">
        <is>
          <t>Lumière Oval Necklace</t>
        </is>
      </c>
      <c r="D5" s="59" t="inlineStr">
        <is>
          <t>Live · Rs 1,499 · out of stock · photo 7/10</t>
        </is>
      </c>
      <c r="E5" s="58" t="inlineStr">
        <is>
          <t>Necklace</t>
        </is>
      </c>
      <c r="F5" s="9" t="n">
        <v>8</v>
      </c>
      <c r="G5" s="56">
        <f>IF(F5&gt;=9,"Hero",IF(F5&gt;=7,"Strong",IF(F5&gt;=5,"Viable",IF(F5=4,"Weak","Exclude"))))</f>
        <v/>
      </c>
      <c r="H5" s="60" t="inlineStr">
        <is>
          <t>Tennis riviere necklace is a gifting and occasion staple with deep repeat demand. Photo: Model shot but the stones blur into a line; add a macro.</t>
        </is>
      </c>
      <c r="I5" s="61" t="inlineStr"/>
    </row>
    <row r="6" ht="24" customHeight="1">
      <c r="A6" s="53" t="n">
        <v>5</v>
      </c>
      <c r="B6" s="54" t="inlineStr">
        <is>
          <t>LIVE-04</t>
        </is>
      </c>
      <c r="C6" s="55" t="inlineStr">
        <is>
          <t>Lumière Oval Bracelet</t>
        </is>
      </c>
      <c r="D6" s="54" t="inlineStr">
        <is>
          <t>Live · Rs 1,099 · out of stock · photo 8/10</t>
        </is>
      </c>
      <c r="E6" s="53" t="inlineStr">
        <is>
          <t>Bracelet</t>
        </is>
      </c>
      <c r="F6" s="9" t="n">
        <v>8</v>
      </c>
      <c r="G6" s="56">
        <f>IF(F6&gt;=9,"Hero",IF(F6&gt;=7,"Strong",IF(F6&gt;=5,"Viable",IF(F6=4,"Weak","Exclude"))))</f>
        <v/>
      </c>
      <c r="H6" s="55" t="inlineStr">
        <is>
          <t>Oval-cut tennis bracelet; the single most reliable bracelet format in the band. Photo: Angle shows the cut well.</t>
        </is>
      </c>
      <c r="I6" s="57" t="inlineStr"/>
    </row>
    <row r="7" ht="24" customHeight="1">
      <c r="A7" s="58" t="n">
        <v>6</v>
      </c>
      <c r="B7" s="59" t="inlineStr">
        <is>
          <t>LIVE-05</t>
        </is>
      </c>
      <c r="C7" s="60" t="inlineStr">
        <is>
          <t>Serpentine Whisper Chain — Silver</t>
        </is>
      </c>
      <c r="D7" s="59" t="inlineStr">
        <is>
          <t>Live · Rs 1,499 · in stock · photo 7/10</t>
        </is>
      </c>
      <c r="E7" s="58" t="inlineStr">
        <is>
          <t>Necklace</t>
        </is>
      </c>
      <c r="F7" s="9" t="n">
        <v>7</v>
      </c>
      <c r="G7" s="56">
        <f>IF(F7&gt;=9,"Hero",IF(F7&gt;=7,"Strong",IF(F7&gt;=5,"Viable",IF(F7=4,"Weak","Exclude"))))</f>
        <v/>
      </c>
      <c r="H7" s="60" t="inlineStr">
        <is>
          <t>Snake chain with a princess solitaire; snake chain is a running trend, silver widens the buyer. Photo: Silver on cream loses contrast.</t>
        </is>
      </c>
      <c r="I7" s="61" t="inlineStr"/>
    </row>
    <row r="8" ht="24" customHeight="1">
      <c r="A8" s="53" t="n">
        <v>7</v>
      </c>
      <c r="B8" s="54" t="inlineStr">
        <is>
          <t>LIVE-06</t>
        </is>
      </c>
      <c r="C8" s="55" t="inlineStr">
        <is>
          <t>Bold Nocturne Bracelet</t>
        </is>
      </c>
      <c r="D8" s="54" t="inlineStr">
        <is>
          <t>Live · Rs 1,599 · in stock · photo 8/10</t>
        </is>
      </c>
      <c r="E8" s="53" t="inlineStr">
        <is>
          <t>Bracelet</t>
        </is>
      </c>
      <c r="F8" s="9" t="n">
        <v>8</v>
      </c>
      <c r="G8" s="56">
        <f>IF(F8&gt;=9,"Hero",IF(F8&gt;=7,"Strong",IF(F8&gt;=5,"Viable",IF(F8=4,"Weak","Exclude"))))</f>
        <v/>
      </c>
      <c r="H8" s="55" t="inlineStr">
        <is>
          <t>Chunky paperclip bracelet; chain and link pieces are 17 percent of Palmonas' own bestseller list. Photo: Wrist shot gives scale.</t>
        </is>
      </c>
      <c r="I8" s="57" t="inlineStr"/>
    </row>
    <row r="9" ht="24" customHeight="1">
      <c r="A9" s="58" t="n">
        <v>8</v>
      </c>
      <c r="B9" s="59" t="inlineStr">
        <is>
          <t>LIVE-07</t>
        </is>
      </c>
      <c r="C9" s="60" t="inlineStr">
        <is>
          <t>Bold Nocturne Chain</t>
        </is>
      </c>
      <c r="D9" s="59" t="inlineStr">
        <is>
          <t>Live · Rs 1,799 · in stock · photo 8/10</t>
        </is>
      </c>
      <c r="E9" s="58" t="inlineStr">
        <is>
          <t>Necklace</t>
        </is>
      </c>
      <c r="F9" s="9" t="n">
        <v>8</v>
      </c>
      <c r="G9" s="56">
        <f>IF(F9&gt;=9,"Hero",IF(F9&gt;=7,"Strong",IF(F9&gt;=5,"Viable",IF(F9=4,"Weak","Exclude"))))</f>
        <v/>
      </c>
      <c r="H9" s="60" t="inlineStr">
        <is>
          <t>Chunky paperclip chain; same bottomless daily-wear pool as the bracelet. Photo: Neck shot, reads well.</t>
        </is>
      </c>
      <c r="I9" s="61" t="inlineStr"/>
    </row>
    <row r="10" ht="24" customHeight="1">
      <c r="A10" s="53" t="n">
        <v>9</v>
      </c>
      <c r="B10" s="54" t="inlineStr">
        <is>
          <t>LIVE-08</t>
        </is>
      </c>
      <c r="C10" s="55" t="inlineStr">
        <is>
          <t>Petite Pearl Chain</t>
        </is>
      </c>
      <c r="D10" s="54" t="inlineStr">
        <is>
          <t>Live · Rs 1,299 · out of stock · photo 7/10</t>
        </is>
      </c>
      <c r="E10" s="53" t="inlineStr">
        <is>
          <t>Necklace</t>
        </is>
      </c>
      <c r="F10" s="9" t="n">
        <v>8</v>
      </c>
      <c r="G10" s="56">
        <f>IF(F10&gt;=9,"Hero",IF(F10&gt;=7,"Strong",IF(F10&gt;=5,"Viable",IF(F10=4,"Weak","Exclude"))))</f>
        <v/>
      </c>
      <c r="H10" s="55" t="inlineStr">
        <is>
          <t>Pearl station necklace; Palmonas launched one this week, the motif is live now. Photo: Dainty piece on a big cube; pearls small in frame.</t>
        </is>
      </c>
      <c r="I10" s="57" t="inlineStr"/>
    </row>
    <row r="11" ht="24" customHeight="1">
      <c r="A11" s="58" t="n">
        <v>10</v>
      </c>
      <c r="B11" s="59" t="inlineStr">
        <is>
          <t>LIVE-09</t>
        </is>
      </c>
      <c r="C11" s="60" t="inlineStr">
        <is>
          <t>Marquise Layering Set</t>
        </is>
      </c>
      <c r="D11" s="59" t="inlineStr">
        <is>
          <t>Live · Rs 1,799 · out of stock · photo 7/10</t>
        </is>
      </c>
      <c r="E11" s="58" t="inlineStr">
        <is>
          <t>Necklace</t>
        </is>
      </c>
      <c r="F11" s="9" t="n">
        <v>7</v>
      </c>
      <c r="G11" s="56">
        <f>IF(F11&gt;=9,"Hero",IF(F11&gt;=7,"Strong",IF(F11&gt;=5,"Viable",IF(F11=4,"Weak","Exclude"))))</f>
        <v/>
      </c>
      <c r="H11" s="60" t="inlineStr">
        <is>
          <t>Two-layer set with a marquise lariat; layered pieces are 8 percent of their bestsellers. Photo: Both layers visible, slightly busy.</t>
        </is>
      </c>
      <c r="I11" s="61" t="inlineStr"/>
    </row>
    <row r="12" ht="24" customHeight="1">
      <c r="A12" s="53" t="n">
        <v>11</v>
      </c>
      <c r="B12" s="54" t="inlineStr">
        <is>
          <t>LIVE-10</t>
        </is>
      </c>
      <c r="C12" s="55" t="inlineStr">
        <is>
          <t>Clover Charm Necklace</t>
        </is>
      </c>
      <c r="D12" s="54" t="inlineStr">
        <is>
          <t>Live · Rs 1,299 · out of stock · photo 7/10</t>
        </is>
      </c>
      <c r="E12" s="53" t="inlineStr">
        <is>
          <t>Necklace</t>
        </is>
      </c>
      <c r="F12" s="6" t="n">
        <v>9</v>
      </c>
      <c r="G12" s="62">
        <f>IF(F12&gt;=9,"Hero",IF(F12&gt;=7,"Strong",IF(F12&gt;=5,"Viable",IF(F12=4,"Weak","Exclude"))))</f>
        <v/>
      </c>
      <c r="H12" s="55" t="inlineStr">
        <is>
          <t>Four-leaf clover pendant is the single hottest demi-fine motif right now; entry price helps. Photo: Clover small at this crop; deserves a hero.</t>
        </is>
      </c>
      <c r="I12" s="57" t="inlineStr"/>
    </row>
    <row r="13" ht="24" customHeight="1">
      <c r="A13" s="58" t="n">
        <v>12</v>
      </c>
      <c r="B13" s="59" t="inlineStr">
        <is>
          <t>LIVE-11</t>
        </is>
      </c>
      <c r="C13" s="60" t="inlineStr">
        <is>
          <t>Verdant Drop Earrings</t>
        </is>
      </c>
      <c r="D13" s="59" t="inlineStr">
        <is>
          <t>Live · Rs 1,459 · in stock · photo 6/10</t>
        </is>
      </c>
      <c r="E13" s="58" t="inlineStr">
        <is>
          <t>Earrings</t>
        </is>
      </c>
      <c r="F13" s="9" t="n">
        <v>7</v>
      </c>
      <c r="G13" s="56">
        <f>IF(F13&gt;=9,"Hero",IF(F13&gt;=7,"Strong",IF(F13&gt;=5,"Viable",IF(F13=4,"Weak","Exclude"))))</f>
        <v/>
      </c>
      <c r="H13" s="60" t="inlineStr">
        <is>
          <t>Green cushion drops; emerald tone has strong festive India pull, silver setting narrows it slightly. Photo: Piece is a speck on the cube.</t>
        </is>
      </c>
      <c r="I13" s="61" t="inlineStr"/>
    </row>
    <row r="14" ht="24" customHeight="1">
      <c r="A14" s="53" t="n">
        <v>13</v>
      </c>
      <c r="B14" s="54" t="inlineStr">
        <is>
          <t>LIVE-12</t>
        </is>
      </c>
      <c r="C14" s="55" t="inlineStr">
        <is>
          <t>Triple Dawn Cuff</t>
        </is>
      </c>
      <c r="D14" s="54" t="inlineStr">
        <is>
          <t>Live · Rs 2,299 · out of stock · photo 8/10</t>
        </is>
      </c>
      <c r="E14" s="53" t="inlineStr">
        <is>
          <t>Bracelet</t>
        </is>
      </c>
      <c r="F14" s="12" t="n">
        <v>6</v>
      </c>
      <c r="G14" s="63">
        <f>IF(F14&gt;=9,"Hero",IF(F14&gt;=7,"Strong",IF(F14&gt;=5,"Viable",IF(F14=4,"Weak","Exclude"))))</f>
        <v/>
      </c>
      <c r="H14" s="55" t="inlineStr">
        <is>
          <t>Hammered wide cuff is a statement buy with a narrower buyer, and Rs 2,299 is the top of the range. Photo: Molten surface catches light nicely.</t>
        </is>
      </c>
      <c r="I14" s="57" t="inlineStr"/>
    </row>
    <row r="15" ht="24" customHeight="1">
      <c r="A15" s="58" t="n">
        <v>14</v>
      </c>
      <c r="B15" s="59" t="inlineStr">
        <is>
          <t>LIVE-13</t>
        </is>
      </c>
      <c r="C15" s="60" t="inlineStr">
        <is>
          <t>Rivière of Light Bracelet</t>
        </is>
      </c>
      <c r="D15" s="59" t="inlineStr">
        <is>
          <t>Live · Rs 1,249 · out of stock · photo 7/10</t>
        </is>
      </c>
      <c r="E15" s="58" t="inlineStr">
        <is>
          <t>Bracelet</t>
        </is>
      </c>
      <c r="F15" s="9" t="n">
        <v>8</v>
      </c>
      <c r="G15" s="56">
        <f>IF(F15&gt;=9,"Hero",IF(F15&gt;=7,"Strong",IF(F15&gt;=5,"Viable",IF(F15=4,"Weak","Exclude"))))</f>
        <v/>
      </c>
      <c r="H15" s="60" t="inlineStr">
        <is>
          <t>Round-CZ tennis bracelet; staple format, entry price. Photo: Reads as a thin line; a macro of the setting would sell it.</t>
        </is>
      </c>
      <c r="I15" s="61" t="inlineStr"/>
    </row>
    <row r="16" ht="24" customHeight="1">
      <c r="A16" s="53" t="n">
        <v>15</v>
      </c>
      <c r="B16" s="54" t="inlineStr">
        <is>
          <t>LIVE-14</t>
        </is>
      </c>
      <c r="C16" s="55" t="inlineStr">
        <is>
          <t>Granule Dome Ring</t>
        </is>
      </c>
      <c r="D16" s="54" t="inlineStr">
        <is>
          <t>Live · Rs 1,399 · in stock · photo 8/10</t>
        </is>
      </c>
      <c r="E16" s="53" t="inlineStr">
        <is>
          <t>Ring</t>
        </is>
      </c>
      <c r="F16" s="9" t="n">
        <v>7</v>
      </c>
      <c r="G16" s="56">
        <f>IF(F16&gt;=9,"Hero",IF(F16&gt;=7,"Strong",IF(F16&gt;=5,"Viable",IF(F16=4,"Weak","Exclude"))))</f>
        <v/>
      </c>
      <c r="H16" s="55" t="inlineStr">
        <is>
          <t>Granulated dome open ring; bold-dome rings are a running trend. Photo: Texture reads crisply.</t>
        </is>
      </c>
      <c r="I16" s="57" t="inlineStr"/>
    </row>
    <row r="17" ht="24" customHeight="1">
      <c r="A17" s="58" t="n">
        <v>16</v>
      </c>
      <c r="B17" s="59" t="inlineStr">
        <is>
          <t>LIVE-15</t>
        </is>
      </c>
      <c r="C17" s="60" t="inlineStr">
        <is>
          <t>Pearl Blossom Earrings</t>
        </is>
      </c>
      <c r="D17" s="59" t="inlineStr">
        <is>
          <t>Live · Rs 1,499 · in stock · photo 7/10</t>
        </is>
      </c>
      <c r="E17" s="58" t="inlineStr">
        <is>
          <t>Earrings</t>
        </is>
      </c>
      <c r="F17" s="9" t="n">
        <v>8</v>
      </c>
      <c r="G17" s="56">
        <f>IF(F17&gt;=9,"Hero",IF(F17&gt;=7,"Strong",IF(F17&gt;=5,"Viable",IF(F17=4,"Weak","Exclude"))))</f>
        <v/>
      </c>
      <c r="H17" s="60" t="inlineStr">
        <is>
          <t>Bow over a pearl in a pave circle; bow plus pearl is a top-running combination. Photo: Silver on cream is soft; fine.</t>
        </is>
      </c>
      <c r="I17" s="61" t="inlineStr"/>
    </row>
    <row r="18" ht="24" customHeight="1">
      <c r="A18" s="53" t="n">
        <v>17</v>
      </c>
      <c r="B18" s="54" t="inlineStr">
        <is>
          <t>LIVE-16</t>
        </is>
      </c>
      <c r="C18" s="55" t="inlineStr">
        <is>
          <t>Halo Curve Ring</t>
        </is>
      </c>
      <c r="D18" s="54" t="inlineStr">
        <is>
          <t>Live · Rs 2,049 · in stock · photo 7/10</t>
        </is>
      </c>
      <c r="E18" s="53" t="inlineStr">
        <is>
          <t>Ring</t>
        </is>
      </c>
      <c r="F18" s="12" t="n">
        <v>6</v>
      </c>
      <c r="G18" s="63">
        <f>IF(F18&gt;=9,"Hero",IF(F18&gt;=7,"Strong",IF(F18&gt;=5,"Viable",IF(F18=4,"Weak","Exclude"))))</f>
        <v/>
      </c>
      <c r="H18" s="55" t="inlineStr">
        <is>
          <t>Two-stone open ring with an earthy cushion; the earthy-stone niche is real but small, and Rs 2,049 is high for it. Photo: Moody hand shot, on brand.</t>
        </is>
      </c>
      <c r="I18" s="57" t="inlineStr"/>
    </row>
    <row r="19" ht="24" customHeight="1">
      <c r="A19" s="58" t="n">
        <v>18</v>
      </c>
      <c r="B19" s="59" t="inlineStr">
        <is>
          <t>LIVE-17</t>
        </is>
      </c>
      <c r="C19" s="60" t="inlineStr">
        <is>
          <t>Pearl Reverie Bracelet</t>
        </is>
      </c>
      <c r="D19" s="59" t="inlineStr">
        <is>
          <t>Live · Rs 899 · out of stock · photo 7/10</t>
        </is>
      </c>
      <c r="E19" s="58" t="inlineStr">
        <is>
          <t>Bracelet</t>
        </is>
      </c>
      <c r="F19" s="9" t="n">
        <v>7</v>
      </c>
      <c r="G19" s="56">
        <f>IF(F19&gt;=9,"Hero",IF(F19&gt;=7,"Strong",IF(F19&gt;=5,"Viable",IF(F19=4,"Weak","Exclude"))))</f>
        <v/>
      </c>
      <c r="H19" s="60" t="inlineStr">
        <is>
          <t>Paperclip chain with pearls and an open circle; two live motifs at an entry price. Photo: Clean.</t>
        </is>
      </c>
      <c r="I19" s="61" t="inlineStr"/>
    </row>
    <row r="20" ht="24" customHeight="1">
      <c r="A20" s="53" t="n">
        <v>19</v>
      </c>
      <c r="B20" s="54" t="inlineStr">
        <is>
          <t>LIVE-18</t>
        </is>
      </c>
      <c r="C20" s="55" t="inlineStr">
        <is>
          <t>Baguette Éclat Bracelet</t>
        </is>
      </c>
      <c r="D20" s="54" t="inlineStr">
        <is>
          <t>Live · Rs 1,800 · out of stock · photo 8/10</t>
        </is>
      </c>
      <c r="E20" s="53" t="inlineStr">
        <is>
          <t>Bracelet</t>
        </is>
      </c>
      <c r="F20" s="9" t="n">
        <v>8</v>
      </c>
      <c r="G20" s="56">
        <f>IF(F20&gt;=9,"Hero",IF(F20&gt;=7,"Strong",IF(F20&gt;=5,"Viable",IF(F20=4,"Weak","Exclude"))))</f>
        <v/>
      </c>
      <c r="H20" s="55" t="inlineStr">
        <is>
          <t>Baguette tennis bracelet; deco, grown-up, photographs well and gifts well. Photo: Burgundy roll is a strong prop.</t>
        </is>
      </c>
      <c r="I20" s="57" t="inlineStr"/>
    </row>
    <row r="21" ht="24" customHeight="1">
      <c r="A21" s="58" t="n">
        <v>20</v>
      </c>
      <c r="B21" s="59" t="inlineStr">
        <is>
          <t>LIVE-19</t>
        </is>
      </c>
      <c r="C21" s="60" t="inlineStr">
        <is>
          <t>First Light Set</t>
        </is>
      </c>
      <c r="D21" s="59" t="inlineStr">
        <is>
          <t>Live · Rs 1,199 · in stock · photo 7/10</t>
        </is>
      </c>
      <c r="E21" s="58" t="inlineStr">
        <is>
          <t>Set</t>
        </is>
      </c>
      <c r="F21" s="9" t="n">
        <v>7</v>
      </c>
      <c r="G21" s="56">
        <f>IF(F21&gt;=9,"Hero",IF(F21&gt;=7,"Strong",IF(F21&gt;=5,"Viable",IF(F21=4,"Weak","Exclude"))))</f>
        <v/>
      </c>
      <c r="H21" s="60" t="inlineStr">
        <is>
          <t>Solitaire pendant plus studs gift set at Rs 1,199; sets convert on gifting even if velocity is lower. Photo: Set reads, pieces are small.</t>
        </is>
      </c>
      <c r="I21" s="61" t="inlineStr"/>
    </row>
    <row r="22" ht="24" customHeight="1">
      <c r="A22" s="53" t="n">
        <v>21</v>
      </c>
      <c r="B22" s="54" t="inlineStr">
        <is>
          <t>LIVE-20</t>
        </is>
      </c>
      <c r="C22" s="55" t="inlineStr">
        <is>
          <t>Petite Pavé Band</t>
        </is>
      </c>
      <c r="D22" s="54" t="inlineStr">
        <is>
          <t>Live · Rs 899 · in stock · photo 8/10</t>
        </is>
      </c>
      <c r="E22" s="53" t="inlineStr">
        <is>
          <t>Ring</t>
        </is>
      </c>
      <c r="F22" s="9" t="n">
        <v>7</v>
      </c>
      <c r="G22" s="56">
        <f>IF(F22&gt;=9,"Hero",IF(F22&gt;=7,"Strong",IF(F22&gt;=5,"Viable",IF(F22=4,"Weak","Exclude"))))</f>
        <v/>
      </c>
      <c r="H22" s="55" t="inlineStr">
        <is>
          <t>Triple crossover pave band; stackable open ring at an entry price. Photo: Sharp.</t>
        </is>
      </c>
      <c r="I22" s="57" t="inlineStr"/>
    </row>
    <row r="23" ht="24" customHeight="1">
      <c r="A23" s="58" t="n">
        <v>22</v>
      </c>
      <c r="B23" s="59" t="inlineStr">
        <is>
          <t>LIVE-21</t>
        </is>
      </c>
      <c r="C23" s="60" t="inlineStr">
        <is>
          <t>Whisper Pavé Band</t>
        </is>
      </c>
      <c r="D23" s="59" t="inlineStr">
        <is>
          <t>Live · Rs 899 · in stock · photo 8/10</t>
        </is>
      </c>
      <c r="E23" s="58" t="inlineStr">
        <is>
          <t>Ring</t>
        </is>
      </c>
      <c r="F23" s="9" t="n">
        <v>8</v>
      </c>
      <c r="G23" s="56">
        <f>IF(F23&gt;=9,"Hero",IF(F23&gt;=7,"Strong",IF(F23&gt;=5,"Viable",IF(F23=4,"Weak","Exclude"))))</f>
        <v/>
      </c>
      <c r="H23" s="60" t="inlineStr">
        <is>
          <t>Cushion halo solitaire with a pave shank; halo solitaire is evergreen gifting. Photo: Sharp; halo reads.</t>
        </is>
      </c>
      <c r="I23" s="61" t="inlineStr"/>
    </row>
    <row r="24" ht="24" customHeight="1">
      <c r="A24" s="53" t="n">
        <v>23</v>
      </c>
      <c r="B24" s="54" t="inlineStr">
        <is>
          <t>LIVE-22</t>
        </is>
      </c>
      <c r="C24" s="55" t="inlineStr">
        <is>
          <t>Pavé Dome Ring</t>
        </is>
      </c>
      <c r="D24" s="54" t="inlineStr">
        <is>
          <t>Live · Rs 1,099 · in stock · photo 8/10</t>
        </is>
      </c>
      <c r="E24" s="53" t="inlineStr">
        <is>
          <t>Ring</t>
        </is>
      </c>
      <c r="F24" s="12" t="n">
        <v>6</v>
      </c>
      <c r="G24" s="63">
        <f>IF(F24&gt;=9,"Hero",IF(F24&gt;=7,"Strong",IF(F24&gt;=5,"Viable",IF(F24=4,"Weak","Exclude"))))</f>
        <v/>
      </c>
      <c r="H24" s="55" t="inlineStr">
        <is>
          <t>Silver twin of the granule dome; splits demand with the gold and silver domes sell slower in this band. Photo: Sharp.</t>
        </is>
      </c>
      <c r="I24" s="57" t="inlineStr"/>
    </row>
    <row r="25" ht="24" customHeight="1">
      <c r="A25" s="58" t="n">
        <v>24</v>
      </c>
      <c r="B25" s="59" t="inlineStr">
        <is>
          <t>LIVE-23</t>
        </is>
      </c>
      <c r="C25" s="60" t="inlineStr">
        <is>
          <t>Vintage Halo Ring</t>
        </is>
      </c>
      <c r="D25" s="59" t="inlineStr">
        <is>
          <t>Live · Rs 999 · in stock · photo 7/10</t>
        </is>
      </c>
      <c r="E25" s="58" t="inlineStr">
        <is>
          <t>Ring</t>
        </is>
      </c>
      <c r="F25" s="9" t="n">
        <v>7</v>
      </c>
      <c r="G25" s="56">
        <f>IF(F25&gt;=9,"Hero",IF(F25&gt;=7,"Strong",IF(F25&gt;=5,"Viable",IF(F25=4,"Weak","Exclude"))))</f>
        <v/>
      </c>
      <c r="H25" s="60" t="inlineStr">
        <is>
          <t>Round halo with milgrain in silver; solid solitaire pull, the vintage detail is a plus. Photo: Small in frame.</t>
        </is>
      </c>
      <c r="I25" s="61" t="inlineStr"/>
    </row>
    <row r="26" ht="24" customHeight="1">
      <c r="A26" s="53" t="n">
        <v>25</v>
      </c>
      <c r="B26" s="54" t="inlineStr">
        <is>
          <t>LIVE-24</t>
        </is>
      </c>
      <c r="C26" s="55" t="inlineStr">
        <is>
          <t>Verdant Circlet Studs</t>
        </is>
      </c>
      <c r="D26" s="54" t="inlineStr">
        <is>
          <t>Live · Rs 1,499 · in stock · photo 8/10</t>
        </is>
      </c>
      <c r="E26" s="53" t="inlineStr">
        <is>
          <t>Earrings</t>
        </is>
      </c>
      <c r="F26" s="9" t="n">
        <v>8</v>
      </c>
      <c r="G26" s="56">
        <f>IF(F26&gt;=9,"Hero",IF(F26&gt;=7,"Strong",IF(F26&gt;=5,"Viable",IF(F26=4,"Weak","Exclude"))))</f>
        <v/>
      </c>
      <c r="H26" s="55" t="inlineStr">
        <is>
          <t>Emerald cushion with pearl and CZ cluster; emerald plus pearl is a festive and wedding-guest winner. Photo: Colour and cluster both read.</t>
        </is>
      </c>
      <c r="I26" s="57" t="inlineStr"/>
    </row>
    <row r="27" ht="24" customHeight="1">
      <c r="A27" s="58" t="n">
        <v>26</v>
      </c>
      <c r="B27" s="59" t="inlineStr">
        <is>
          <t>LIVE-25</t>
        </is>
      </c>
      <c r="C27" s="60" t="inlineStr">
        <is>
          <t>Verdant Eternity Band</t>
        </is>
      </c>
      <c r="D27" s="59" t="inlineStr">
        <is>
          <t>Live · Rs 1,899 · in stock · photo 7/10</t>
        </is>
      </c>
      <c r="E27" s="58" t="inlineStr">
        <is>
          <t>Ring</t>
        </is>
      </c>
      <c r="F27" s="9" t="n">
        <v>8</v>
      </c>
      <c r="G27" s="56">
        <f>IF(F27&gt;=9,"Hero",IF(F27&gt;=7,"Strong",IF(F27&gt;=5,"Viable",IF(F27=4,"Weak","Exclude"))))</f>
        <v/>
      </c>
      <c r="H27" s="60" t="inlineStr">
        <is>
          <t>Emerald half-eternity; green stones sell out 56 percent at Palmonas, above their range average. Photo: Hand shot; stones a little lost.</t>
        </is>
      </c>
      <c r="I27" s="61" t="inlineStr"/>
    </row>
    <row r="28" ht="24" customHeight="1">
      <c r="A28" s="53" t="n">
        <v>27</v>
      </c>
      <c r="B28" s="54" t="inlineStr">
        <is>
          <t>LIVE-26</t>
        </is>
      </c>
      <c r="C28" s="55" t="inlineStr">
        <is>
          <t>Rose Verdant Band</t>
        </is>
      </c>
      <c r="D28" s="54" t="inlineStr">
        <is>
          <t>Live · Rs 1,599 · in stock · photo 7/10</t>
        </is>
      </c>
      <c r="E28" s="53" t="inlineStr">
        <is>
          <t>Ring</t>
        </is>
      </c>
      <c r="F28" s="12" t="n">
        <v>6</v>
      </c>
      <c r="G28" s="63">
        <f>IF(F28&gt;=9,"Hero",IF(F28&gt;=7,"Strong",IF(F28&gt;=5,"Viable",IF(F28=4,"Weak","Exclude"))))</f>
        <v/>
      </c>
      <c r="H28" s="55" t="inlineStr">
        <is>
          <t>Rose-gold multi-row with green stones; busy, and rose plus green is a harder colour story in this band. Photo: Fine.</t>
        </is>
      </c>
      <c r="I28" s="57" t="inlineStr"/>
    </row>
    <row r="29" ht="24" customHeight="1">
      <c r="A29" s="58" t="n">
        <v>28</v>
      </c>
      <c r="B29" s="59" t="inlineStr">
        <is>
          <t>LIVE-27</t>
        </is>
      </c>
      <c r="C29" s="60" t="inlineStr">
        <is>
          <t>Blush Cluster Ring</t>
        </is>
      </c>
      <c r="D29" s="59" t="inlineStr">
        <is>
          <t>Live · Rs 1,499 · in stock · photo 7/10</t>
        </is>
      </c>
      <c r="E29" s="58" t="inlineStr">
        <is>
          <t>Ring</t>
        </is>
      </c>
      <c r="F29" s="12" t="n">
        <v>5</v>
      </c>
      <c r="G29" s="63">
        <f>IF(F29&gt;=9,"Hero",IF(F29&gt;=7,"Strong",IF(F29&gt;=5,"Viable",IF(F29=4,"Weak","Exclude"))))</f>
        <v/>
      </c>
      <c r="H29" s="60" t="inlineStr">
        <is>
          <t>Pink cluster ring; pastel pink reads young and narrows the buyer. Photo: Model shot, ring is small.</t>
        </is>
      </c>
      <c r="I29" s="61" t="inlineStr">
        <is>
          <t>pastel</t>
        </is>
      </c>
    </row>
    <row r="30" ht="24" customHeight="1">
      <c r="A30" s="53" t="n">
        <v>29</v>
      </c>
      <c r="B30" s="54" t="inlineStr">
        <is>
          <t>LIVE-28</t>
        </is>
      </c>
      <c r="C30" s="55" t="inlineStr">
        <is>
          <t>Star Point Band</t>
        </is>
      </c>
      <c r="D30" s="54" t="inlineStr">
        <is>
          <t>Live · Rs 799 · in stock · photo 8/10</t>
        </is>
      </c>
      <c r="E30" s="53" t="inlineStr">
        <is>
          <t>Ring</t>
        </is>
      </c>
      <c r="F30" s="12" t="n">
        <v>5</v>
      </c>
      <c r="G30" s="63">
        <f>IF(F30&gt;=9,"Hero",IF(F30&gt;=7,"Strong",IF(F30&gt;=5,"Viable",IF(F30=4,"Weak","Exclude"))))</f>
        <v/>
      </c>
      <c r="H30" s="55" t="inlineStr">
        <is>
          <t>Chunky bands with tiny star and heart motifs; edges toward novelty, weak repeat purchase. Photo: Green velvet shot is one of the best in the set.</t>
        </is>
      </c>
      <c r="I30" s="57" t="inlineStr">
        <is>
          <t>novelty</t>
        </is>
      </c>
    </row>
    <row r="31" ht="24" customHeight="1">
      <c r="A31" s="58" t="n">
        <v>30</v>
      </c>
      <c r="B31" s="59" t="inlineStr">
        <is>
          <t>LIVE-29</t>
        </is>
      </c>
      <c r="C31" s="60" t="inlineStr">
        <is>
          <t>Pearl Ribbon Ring</t>
        </is>
      </c>
      <c r="D31" s="59" t="inlineStr">
        <is>
          <t>Live · Rs 1,099 · in stock · photo 8/10</t>
        </is>
      </c>
      <c r="E31" s="58" t="inlineStr">
        <is>
          <t>Ring</t>
        </is>
      </c>
      <c r="F31" s="6" t="n">
        <v>9</v>
      </c>
      <c r="G31" s="62">
        <f>IF(F31&gt;=9,"Hero",IF(F31&gt;=7,"Strong",IF(F31&gt;=5,"Viable",IF(F31=4,"Weak","Exclude"))))</f>
        <v/>
      </c>
      <c r="H31" s="60" t="inlineStr">
        <is>
          <t>Bow with a pearl and baguette loops; bow plus pearl is the trend of the year at an entry price. Photo: Sharp; bow reads.</t>
        </is>
      </c>
      <c r="I31" s="61" t="inlineStr"/>
    </row>
    <row r="32" ht="24" customHeight="1">
      <c r="A32" s="53" t="n">
        <v>31</v>
      </c>
      <c r="B32" s="54" t="inlineStr">
        <is>
          <t>LIVE-30</t>
        </is>
      </c>
      <c r="C32" s="55" t="inlineStr">
        <is>
          <t>Chevron Whisper Ring</t>
        </is>
      </c>
      <c r="D32" s="54" t="inlineStr">
        <is>
          <t>Live · Rs 1,299 · in stock · photo 8/10</t>
        </is>
      </c>
      <c r="E32" s="53" t="inlineStr">
        <is>
          <t>Ring</t>
        </is>
      </c>
      <c r="F32" s="9" t="n">
        <v>7</v>
      </c>
      <c r="G32" s="56">
        <f>IF(F32&gt;=9,"Hero",IF(F32&gt;=7,"Strong",IF(F32&gt;=5,"Viable",IF(F32=4,"Weak","Exclude"))))</f>
        <v/>
      </c>
      <c r="H32" s="55" t="inlineStr">
        <is>
          <t>Double chevron pave band; stack-ring staple. Photo: Sharp.</t>
        </is>
      </c>
      <c r="I32" s="57" t="inlineStr"/>
    </row>
    <row r="33" ht="24" customHeight="1">
      <c r="A33" s="58" t="n">
        <v>32</v>
      </c>
      <c r="B33" s="59" t="inlineStr">
        <is>
          <t>LIVE-31</t>
        </is>
      </c>
      <c r="C33" s="60" t="inlineStr">
        <is>
          <t>Cushion Halo Ring</t>
        </is>
      </c>
      <c r="D33" s="59" t="inlineStr">
        <is>
          <t>Live · Rs 1,199 · out of stock · photo 6/10</t>
        </is>
      </c>
      <c r="E33" s="58" t="inlineStr">
        <is>
          <t>Ring</t>
        </is>
      </c>
      <c r="F33" s="9" t="n">
        <v>8</v>
      </c>
      <c r="G33" s="56">
        <f>IF(F33&gt;=9,"Hero",IF(F33&gt;=7,"Strong",IF(F33&gt;=5,"Viable",IF(F33=4,"Weak","Exclude"))))</f>
        <v/>
      </c>
      <c r="H33" s="60" t="inlineStr">
        <is>
          <t>Cushion halo solitaire in silver; evergreen, entry price. Photo: Tiny in frame on a tall cube.</t>
        </is>
      </c>
      <c r="I33" s="61" t="inlineStr"/>
    </row>
    <row r="34" ht="24" customHeight="1">
      <c r="A34" s="53" t="n">
        <v>33</v>
      </c>
      <c r="B34" s="54" t="inlineStr">
        <is>
          <t>LIVE-32</t>
        </is>
      </c>
      <c r="C34" s="55" t="inlineStr">
        <is>
          <t>Ribbon Bead Bracelet</t>
        </is>
      </c>
      <c r="D34" s="54" t="inlineStr">
        <is>
          <t>Live · Rs 799 · in stock · photo 7/10</t>
        </is>
      </c>
      <c r="E34" s="53" t="inlineStr">
        <is>
          <t>Bracelet</t>
        </is>
      </c>
      <c r="F34" s="12" t="n">
        <v>6</v>
      </c>
      <c r="G34" s="63">
        <f>IF(F34&gt;=9,"Hero",IF(F34&gt;=7,"Strong",IF(F34&gt;=5,"Viable",IF(F34=4,"Weak","Exclude"))))</f>
        <v/>
      </c>
      <c r="H34" s="55" t="inlineStr">
        <is>
          <t>Delicate chain bracelet with two bezels; pretty filler at Rs 799. Photo: Fine.</t>
        </is>
      </c>
      <c r="I34" s="57" t="inlineStr"/>
    </row>
    <row r="35" ht="24" customHeight="1">
      <c r="A35" s="58" t="n">
        <v>34</v>
      </c>
      <c r="B35" s="59" t="inlineStr">
        <is>
          <t>LIVE-33</t>
        </is>
      </c>
      <c r="C35" s="60" t="inlineStr">
        <is>
          <t>Heartbead Bracelet</t>
        </is>
      </c>
      <c r="D35" s="59" t="inlineStr">
        <is>
          <t>Live · Rs 1,299 · in stock · photo 8/10</t>
        </is>
      </c>
      <c r="E35" s="58" t="inlineStr">
        <is>
          <t>Bracelet</t>
        </is>
      </c>
      <c r="F35" s="9" t="n">
        <v>7</v>
      </c>
      <c r="G35" s="56">
        <f>IF(F35&gt;=9,"Hero",IF(F35&gt;=7,"Strong",IF(F35&gt;=5,"Viable",IF(F35=4,"Weak","Exclude"))))</f>
        <v/>
      </c>
      <c r="H35" s="60" t="inlineStr">
        <is>
          <t>Bead bracelet with a heart charm and toggle; heart is Palmonas' number one motif at 16 percent of range. Photo: Burgundy roll, reads well.</t>
        </is>
      </c>
      <c r="I35" s="61" t="inlineStr"/>
    </row>
    <row r="36" ht="24" customHeight="1">
      <c r="A36" s="53" t="n">
        <v>35</v>
      </c>
      <c r="B36" s="54" t="inlineStr">
        <is>
          <t>LIVE-34</t>
        </is>
      </c>
      <c r="C36" s="55" t="inlineStr">
        <is>
          <t>Prism Rivière Bracelet</t>
        </is>
      </c>
      <c r="D36" s="54" t="inlineStr">
        <is>
          <t>Live · Rs 2,399 · in stock · photo 9/10</t>
        </is>
      </c>
      <c r="E36" s="53" t="inlineStr">
        <is>
          <t>Bracelet</t>
        </is>
      </c>
      <c r="F36" s="12" t="n">
        <v>6</v>
      </c>
      <c r="G36" s="63">
        <f>IF(F36&gt;=9,"Hero",IF(F36&gt;=7,"Strong",IF(F36&gt;=5,"Viable",IF(F36=4,"Weak","Exclude"))))</f>
        <v/>
      </c>
      <c r="H36" s="55" t="inlineStr">
        <is>
          <t>Pastel multicolour baguette-halo tennis; rainbow tennis is live, but multicolour pastel narrows the buyer and Rs 2,399 is the range ceiling. Photo: The wet-burgundy hero is the best photograph in the catalogue.</t>
        </is>
      </c>
      <c r="I36" s="57" t="inlineStr">
        <is>
          <t>pastel</t>
        </is>
      </c>
    </row>
    <row r="37" ht="24" customHeight="1">
      <c r="A37" s="58" t="n">
        <v>36</v>
      </c>
      <c r="B37" s="59" t="inlineStr">
        <is>
          <t>LIVE-35</t>
        </is>
      </c>
      <c r="C37" s="60" t="inlineStr">
        <is>
          <t>Blush Station Bracelet</t>
        </is>
      </c>
      <c r="D37" s="59" t="inlineStr">
        <is>
          <t>Live · Rs 1,900 · out of stock · photo 7/10</t>
        </is>
      </c>
      <c r="E37" s="58" t="inlineStr">
        <is>
          <t>Bracelet</t>
        </is>
      </c>
      <c r="F37" s="12" t="n">
        <v>5</v>
      </c>
      <c r="G37" s="63">
        <f>IF(F37&gt;=9,"Hero",IF(F37&gt;=7,"Strong",IF(F37&gt;=5,"Viable",IF(F37=4,"Weak","Exclude"))))</f>
        <v/>
      </c>
      <c r="H37" s="60" t="inlineStr">
        <is>
          <t>Pink bezel station bracelet; pastel pink again, and Rs 1,900 for it. Photo: Fine.</t>
        </is>
      </c>
      <c r="I37" s="61" t="inlineStr">
        <is>
          <t>pastel</t>
        </is>
      </c>
    </row>
    <row r="38" ht="24" customHeight="1">
      <c r="A38" s="53" t="n">
        <v>37</v>
      </c>
      <c r="B38" s="54" t="inlineStr">
        <is>
          <t>LIVE-36</t>
        </is>
      </c>
      <c r="C38" s="55" t="inlineStr">
        <is>
          <t>Baroque Bloom Cuff</t>
        </is>
      </c>
      <c r="D38" s="54" t="inlineStr">
        <is>
          <t>Live · Rs 1,499 · out of stock · photo 8/10</t>
        </is>
      </c>
      <c r="E38" s="53" t="inlineStr">
        <is>
          <t>Bracelet</t>
        </is>
      </c>
      <c r="F38" s="9" t="n">
        <v>7</v>
      </c>
      <c r="G38" s="56">
        <f>IF(F38&gt;=9,"Hero",IF(F38&gt;=7,"Strong",IF(F38&gt;=5,"Viable",IF(F38=4,"Weak","Exclude"))))</f>
        <v/>
      </c>
      <c r="H38" s="55" t="inlineStr">
        <is>
          <t>Open cuff with a baroque pearl and a CZ; pearl cuff reads expensive. Photo: Green velvet, strong.</t>
        </is>
      </c>
      <c r="I38" s="57" t="inlineStr"/>
    </row>
    <row r="39" ht="24" customHeight="1">
      <c r="A39" s="58" t="n">
        <v>38</v>
      </c>
      <c r="B39" s="59" t="inlineStr">
        <is>
          <t>LIVE-37</t>
        </is>
      </c>
      <c r="C39" s="60" t="inlineStr">
        <is>
          <t>Pearl Point Studs</t>
        </is>
      </c>
      <c r="D39" s="59" t="inlineStr">
        <is>
          <t>Live · Rs 1,499 · in stock · photo 7/10</t>
        </is>
      </c>
      <c r="E39" s="58" t="inlineStr">
        <is>
          <t>Earrings</t>
        </is>
      </c>
      <c r="F39" s="9" t="n">
        <v>8</v>
      </c>
      <c r="G39" s="56">
        <f>IF(F39&gt;=9,"Hero",IF(F39&gt;=7,"Strong",IF(F39&gt;=5,"Viable",IF(F39=4,"Weak","Exclude"))))</f>
        <v/>
      </c>
      <c r="H39" s="60" t="inlineStr">
        <is>
          <t>Pearl in a rope-twist huggie; pearl huggie is daily-wear core. Photo: Small; the twist detail is lost.</t>
        </is>
      </c>
      <c r="I39" s="61" t="inlineStr"/>
    </row>
    <row r="40" ht="24" customHeight="1">
      <c r="A40" s="53" t="n">
        <v>39</v>
      </c>
      <c r="B40" s="54" t="inlineStr">
        <is>
          <t>LIVE-38</t>
        </is>
      </c>
      <c r="C40" s="55" t="inlineStr">
        <is>
          <t>Trio Oval Drop Earrings</t>
        </is>
      </c>
      <c r="D40" s="54" t="inlineStr">
        <is>
          <t>Live · Rs 1,499 · in stock · photo 6/10</t>
        </is>
      </c>
      <c r="E40" s="53" t="inlineStr">
        <is>
          <t>Earrings</t>
        </is>
      </c>
      <c r="F40" s="9" t="n">
        <v>7</v>
      </c>
      <c r="G40" s="56">
        <f>IF(F40&gt;=9,"Hero",IF(F40&gt;=7,"Strong",IF(F40&gt;=5,"Viable",IF(F40=4,"Weak","Exclude"))))</f>
        <v/>
      </c>
      <c r="H40" s="55" t="inlineStr">
        <is>
          <t>Baguette oval-link drop in two-tone; deco link, grown-up. Photo: Cropped so tight it does not read as an earring.</t>
        </is>
      </c>
      <c r="I40" s="57" t="inlineStr"/>
    </row>
    <row r="41" ht="24" customHeight="1">
      <c r="A41" s="58" t="n">
        <v>40</v>
      </c>
      <c r="B41" s="59" t="inlineStr">
        <is>
          <t>LIVE-39</t>
        </is>
      </c>
      <c r="C41" s="60" t="inlineStr">
        <is>
          <t>Brushed Gold Huggies</t>
        </is>
      </c>
      <c r="D41" s="59" t="inlineStr">
        <is>
          <t>Live · Rs 1,099 · in stock · photo 7/10</t>
        </is>
      </c>
      <c r="E41" s="58" t="inlineStr">
        <is>
          <t>Earrings</t>
        </is>
      </c>
      <c r="F41" s="9" t="n">
        <v>8</v>
      </c>
      <c r="G41" s="56">
        <f>IF(F41&gt;=9,"Hero",IF(F41&gt;=7,"Strong",IF(F41&gt;=5,"Viable",IF(F41=4,"Weak","Exclude"))))</f>
        <v/>
      </c>
      <c r="H41" s="60" t="inlineStr">
        <is>
          <t>Brushed chunky dome huggies; the deepest, most stable daily-wear pool. Photo: Fine; brushed finish reads.</t>
        </is>
      </c>
      <c r="I41" s="61" t="inlineStr"/>
    </row>
    <row r="42" ht="24" customHeight="1">
      <c r="A42" s="53" t="n">
        <v>41</v>
      </c>
      <c r="B42" s="54" t="inlineStr">
        <is>
          <t>LIVE-40</t>
        </is>
      </c>
      <c r="C42" s="55" t="inlineStr">
        <is>
          <t>Pearl Drop Studs</t>
        </is>
      </c>
      <c r="D42" s="54" t="inlineStr">
        <is>
          <t>Live · Rs 1,199 · in stock · photo 8/10</t>
        </is>
      </c>
      <c r="E42" s="53" t="inlineStr">
        <is>
          <t>Earrings</t>
        </is>
      </c>
      <c r="F42" s="9" t="n">
        <v>7</v>
      </c>
      <c r="G42" s="56">
        <f>IF(F42&gt;=9,"Hero",IF(F42&gt;=7,"Strong",IF(F42&gt;=5,"Viable",IF(F42=4,"Weak","Exclude"))))</f>
        <v/>
      </c>
      <c r="H42" s="55" t="inlineStr">
        <is>
          <t>Pearl and gold-ball drop; classic, safe gift. Photo: Ear shot, good.</t>
        </is>
      </c>
      <c r="I42" s="57" t="inlineStr"/>
    </row>
    <row r="43" ht="24" customHeight="1">
      <c r="A43" s="58" t="n">
        <v>42</v>
      </c>
      <c r="B43" s="59" t="inlineStr">
        <is>
          <t>LIVE-41</t>
        </is>
      </c>
      <c r="C43" s="60" t="inlineStr">
        <is>
          <t>Solitaire Whisper Studs</t>
        </is>
      </c>
      <c r="D43" s="59" t="inlineStr">
        <is>
          <t>Live · Rs 1,099 · in stock · photo 8/10</t>
        </is>
      </c>
      <c r="E43" s="58" t="inlineStr">
        <is>
          <t>Earrings</t>
        </is>
      </c>
      <c r="F43" s="9" t="n">
        <v>8</v>
      </c>
      <c r="G43" s="56">
        <f>IF(F43&gt;=9,"Hero",IF(F43&gt;=7,"Strong",IF(F43&gt;=5,"Viable",IF(F43=4,"Weak","Exclude"))))</f>
        <v/>
      </c>
      <c r="H43" s="60" t="inlineStr">
        <is>
          <t>Cushion halo studs in silver; the default gift stud. Photo: Sharp.</t>
        </is>
      </c>
      <c r="I43" s="61" t="inlineStr"/>
    </row>
    <row r="44" ht="24" customHeight="1">
      <c r="A44" s="53" t="n">
        <v>43</v>
      </c>
      <c r="B44" s="54" t="inlineStr">
        <is>
          <t>LIVE-42</t>
        </is>
      </c>
      <c r="C44" s="55" t="inlineStr">
        <is>
          <t>Filigree Bloom Studs</t>
        </is>
      </c>
      <c r="D44" s="54" t="inlineStr">
        <is>
          <t>Live · Rs 1,499 · in stock · photo 8/10</t>
        </is>
      </c>
      <c r="E44" s="53" t="inlineStr">
        <is>
          <t>Earrings</t>
        </is>
      </c>
      <c r="F44" s="9" t="n">
        <v>7</v>
      </c>
      <c r="G44" s="56">
        <f>IF(F44&gt;=9,"Hero",IF(F44&gt;=7,"Strong",IF(F44&gt;=5,"Viable",IF(F44=4,"Weak","Exclude"))))</f>
        <v/>
      </c>
      <c r="H44" s="55" t="inlineStr">
        <is>
          <t>Wire flower with a pearl centre; floral plus pearl, distinctive without being loud. Photo: Sharp.</t>
        </is>
      </c>
      <c r="I44" s="57" t="inlineStr"/>
    </row>
    <row r="45" ht="24" customHeight="1">
      <c r="A45" s="58" t="n">
        <v>44</v>
      </c>
      <c r="B45" s="59" t="inlineStr">
        <is>
          <t>LIVE-43</t>
        </is>
      </c>
      <c r="C45" s="60" t="inlineStr">
        <is>
          <t>Baguette Arc Hoops</t>
        </is>
      </c>
      <c r="D45" s="59" t="inlineStr">
        <is>
          <t>Live · Rs 1,899 · in stock · photo 7/10</t>
        </is>
      </c>
      <c r="E45" s="58" t="inlineStr">
        <is>
          <t>Earrings</t>
        </is>
      </c>
      <c r="F45" s="9" t="n">
        <v>8</v>
      </c>
      <c r="G45" s="56">
        <f>IF(F45&gt;=9,"Hero",IF(F45&gt;=7,"Strong",IF(F45&gt;=5,"Viable",IF(F45=4,"Weak","Exclude"))))</f>
        <v/>
      </c>
      <c r="H45" s="60" t="inlineStr">
        <is>
          <t>Baguette C-hoops in silver; baguette hoop is a strong everyday format. Photo: Fine.</t>
        </is>
      </c>
      <c r="I45" s="61" t="inlineStr"/>
    </row>
    <row r="46" ht="24" customHeight="1">
      <c r="A46" s="53" t="n">
        <v>45</v>
      </c>
      <c r="B46" s="54" t="inlineStr">
        <is>
          <t>LIVE-44</t>
        </is>
      </c>
      <c r="C46" s="55" t="inlineStr">
        <is>
          <t>Textured Gold Hoops</t>
        </is>
      </c>
      <c r="D46" s="54" t="inlineStr">
        <is>
          <t>Live · Rs 1,699 · in stock · photo 7/10</t>
        </is>
      </c>
      <c r="E46" s="53" t="inlineStr">
        <is>
          <t>Earrings</t>
        </is>
      </c>
      <c r="F46" s="12" t="n">
        <v>6</v>
      </c>
      <c r="G46" s="63">
        <f>IF(F46&gt;=9,"Hero",IF(F46&gt;=7,"Strong",IF(F46&gt;=5,"Viable",IF(F46=4,"Weak","Exclude"))))</f>
        <v/>
      </c>
      <c r="H46" s="55" t="inlineStr">
        <is>
          <t>Pave floral-cluster hoops; busy, mid demand. Photo: Fine.</t>
        </is>
      </c>
      <c r="I46" s="57" t="inlineStr"/>
    </row>
    <row r="47" ht="24" customHeight="1">
      <c r="A47" s="58" t="n">
        <v>46</v>
      </c>
      <c r="B47" s="59" t="inlineStr">
        <is>
          <t>LIVE-45</t>
        </is>
      </c>
      <c r="C47" s="60" t="inlineStr">
        <is>
          <t>Ribbon Bow Earrings</t>
        </is>
      </c>
      <c r="D47" s="59" t="inlineStr">
        <is>
          <t>Live · Rs 1,599 · in stock · photo 8/10</t>
        </is>
      </c>
      <c r="E47" s="58" t="inlineStr">
        <is>
          <t>Earrings</t>
        </is>
      </c>
      <c r="F47" s="6" t="n">
        <v>9</v>
      </c>
      <c r="G47" s="62">
        <f>IF(F47&gt;=9,"Hero",IF(F47&gt;=7,"Strong",IF(F47&gt;=5,"Viable",IF(F47=4,"Weak","Exclude"))))</f>
        <v/>
      </c>
      <c r="H47" s="60" t="inlineStr">
        <is>
          <t>Baguette bow studs; bow is a top-running trend and this is the clean version of it. Photo: Sharp; bow reads.</t>
        </is>
      </c>
      <c r="I47" s="61" t="inlineStr"/>
    </row>
    <row r="48" ht="24" customHeight="1">
      <c r="A48" s="53" t="n">
        <v>47</v>
      </c>
      <c r="B48" s="54" t="inlineStr">
        <is>
          <t>LIVE-46</t>
        </is>
      </c>
      <c r="C48" s="55" t="inlineStr">
        <is>
          <t>Woven Gold Hoops</t>
        </is>
      </c>
      <c r="D48" s="54" t="inlineStr">
        <is>
          <t>Live · Rs 1,499 · in stock · photo 9/10</t>
        </is>
      </c>
      <c r="E48" s="53" t="inlineStr">
        <is>
          <t>Earrings</t>
        </is>
      </c>
      <c r="F48" s="9" t="n">
        <v>8</v>
      </c>
      <c r="G48" s="56">
        <f>IF(F48&gt;=9,"Hero",IF(F48&gt;=7,"Strong",IF(F48&gt;=5,"Viable",IF(F48=4,"Weak","Exclude"))))</f>
        <v/>
      </c>
      <c r="H48" s="55" t="inlineStr">
        <is>
          <t>Braided chunky huggies; twisted hoops are bottomless demand. Photo: Wet-burgundy hero, excellent.</t>
        </is>
      </c>
      <c r="I48" s="57" t="inlineStr"/>
    </row>
    <row r="49" ht="24" customHeight="1">
      <c r="A49" s="58" t="n">
        <v>48</v>
      </c>
      <c r="B49" s="59" t="inlineStr">
        <is>
          <t>LIVE-47</t>
        </is>
      </c>
      <c r="C49" s="60" t="inlineStr">
        <is>
          <t>Clover Trio Edit</t>
        </is>
      </c>
      <c r="D49" s="59" t="inlineStr">
        <is>
          <t>Live · Rs 1,999 · in stock · photo 6/10</t>
        </is>
      </c>
      <c r="E49" s="58" t="inlineStr">
        <is>
          <t>Earrings</t>
        </is>
      </c>
      <c r="F49" s="9" t="n">
        <v>8</v>
      </c>
      <c r="G49" s="56">
        <f>IF(F49&gt;=9,"Hero",IF(F49&gt;=7,"Strong",IF(F49&gt;=5,"Viable",IF(F49=4,"Weak","Exclude"))))</f>
        <v/>
      </c>
      <c r="H49" s="60" t="inlineStr">
        <is>
          <t>Three-pair clover edit at Rs 1,999; the hottest motif, bundled. Photo: Three pairs fight for the frame; shoot the clover studs alone as the hero.</t>
        </is>
      </c>
      <c r="I49" s="61" t="inlineStr"/>
    </row>
    <row r="50" ht="24" customHeight="1">
      <c r="A50" s="53" t="n">
        <v>49</v>
      </c>
      <c r="B50" s="54" t="inlineStr">
        <is>
          <t>LIVE-48</t>
        </is>
      </c>
      <c r="C50" s="55" t="inlineStr">
        <is>
          <t>Molten Bloom Hoops</t>
        </is>
      </c>
      <c r="D50" s="54" t="inlineStr">
        <is>
          <t>Live · Rs 1,300 · out of stock · photo 8/10</t>
        </is>
      </c>
      <c r="E50" s="53" t="inlineStr">
        <is>
          <t>Earrings</t>
        </is>
      </c>
      <c r="F50" s="9" t="n">
        <v>7</v>
      </c>
      <c r="G50" s="56">
        <f>IF(F50&gt;=9,"Hero",IF(F50&gt;=7,"Strong",IF(F50&gt;=5,"Viable",IF(F50=4,"Weak","Exclude"))))</f>
        <v/>
      </c>
      <c r="H50" s="55" t="inlineStr">
        <is>
          <t>Molten irregular huggies; the molten trend at an entry price. Photo: Surface reads.</t>
        </is>
      </c>
      <c r="I50" s="57" t="inlineStr"/>
    </row>
    <row r="51" ht="24" customHeight="1">
      <c r="A51" s="58" t="n">
        <v>50</v>
      </c>
      <c r="B51" s="59" t="inlineStr">
        <is>
          <t>LIVE-49</t>
        </is>
      </c>
      <c r="C51" s="60" t="inlineStr">
        <is>
          <t>Baroque Pearl Lariat</t>
        </is>
      </c>
      <c r="D51" s="59" t="inlineStr">
        <is>
          <t>Live · Rs 1,599 · in stock · photo 7/10</t>
        </is>
      </c>
      <c r="E51" s="58" t="inlineStr">
        <is>
          <t>Necklace</t>
        </is>
      </c>
      <c r="F51" s="9" t="n">
        <v>7</v>
      </c>
      <c r="G51" s="56">
        <f>IF(F51&gt;=9,"Hero",IF(F51&gt;=7,"Strong",IF(F51&gt;=5,"Viable",IF(F51=4,"Weak","Exclude"))))</f>
        <v/>
      </c>
      <c r="H51" s="60" t="inlineStr">
        <is>
          <t>Open-circle lariat with a baroque pearl drop; layering piece with a pearl. Photo: Fine.</t>
        </is>
      </c>
      <c r="I51" s="61" t="inlineStr"/>
    </row>
    <row r="52" ht="24" customHeight="1">
      <c r="A52" s="53" t="n">
        <v>51</v>
      </c>
      <c r="B52" s="54" t="inlineStr">
        <is>
          <t>LIVE-50</t>
        </is>
      </c>
      <c r="C52" s="55" t="inlineStr">
        <is>
          <t>Toggle Link Chain</t>
        </is>
      </c>
      <c r="D52" s="54" t="inlineStr">
        <is>
          <t>Live · Rs 1,499 · in stock · photo 8/10</t>
        </is>
      </c>
      <c r="E52" s="53" t="inlineStr">
        <is>
          <t>Necklace</t>
        </is>
      </c>
      <c r="F52" s="9" t="n">
        <v>8</v>
      </c>
      <c r="G52" s="56">
        <f>IF(F52&gt;=9,"Hero",IF(F52&gt;=7,"Strong",IF(F52&gt;=5,"Viable",IF(F52=4,"Weak","Exclude"))))</f>
        <v/>
      </c>
      <c r="H52" s="55" t="inlineStr">
        <is>
          <t>Paperclip chain with a toggle ring; daily-wear chain, worn shot sells it. Photo: Neck shot, good.</t>
        </is>
      </c>
      <c r="I52" s="57" t="inlineStr"/>
    </row>
    <row r="53" ht="24" customHeight="1">
      <c r="A53" s="58" t="n">
        <v>52</v>
      </c>
      <c r="B53" s="59" t="inlineStr">
        <is>
          <t>LIVE-51</t>
        </is>
      </c>
      <c r="C53" s="60" t="inlineStr">
        <is>
          <t>Charm Box Chain</t>
        </is>
      </c>
      <c r="D53" s="59" t="inlineStr">
        <is>
          <t>Live · Rs 1,599 · in stock · photo 7/10</t>
        </is>
      </c>
      <c r="E53" s="58" t="inlineStr">
        <is>
          <t>Necklace</t>
        </is>
      </c>
      <c r="F53" s="12" t="n">
        <v>6</v>
      </c>
      <c r="G53" s="63">
        <f>IF(F53&gt;=9,"Hero",IF(F53&gt;=7,"Strong",IF(F53&gt;=5,"Viable",IF(F53=4,"Weak","Exclude"))))</f>
        <v/>
      </c>
      <c r="H53" s="60" t="inlineStr">
        <is>
          <t>Box chain with a pave barrel; mid demand, the barrel reads generic. Photo: Fine.</t>
        </is>
      </c>
      <c r="I53" s="61" t="inlineStr"/>
    </row>
    <row r="54" ht="24" customHeight="1">
      <c r="A54" s="53" t="n">
        <v>53</v>
      </c>
      <c r="B54" s="54" t="inlineStr">
        <is>
          <t>LIVE-52</t>
        </is>
      </c>
      <c r="C54" s="55" t="inlineStr">
        <is>
          <t>Serpentine Whisper Chain</t>
        </is>
      </c>
      <c r="D54" s="54" t="inlineStr">
        <is>
          <t>Live · Rs 1,849 · out of stock · photo 7/10</t>
        </is>
      </c>
      <c r="E54" s="53" t="inlineStr">
        <is>
          <t>Necklace</t>
        </is>
      </c>
      <c r="F54" s="9" t="n">
        <v>7</v>
      </c>
      <c r="G54" s="56">
        <f>IF(F54&gt;=9,"Hero",IF(F54&gt;=7,"Strong",IF(F54&gt;=5,"Viable",IF(F54=4,"Weak","Exclude"))))</f>
        <v/>
      </c>
      <c r="H54" s="55" t="inlineStr">
        <is>
          <t>Gold snake chain with a square solitaire; solid. Photo: Fine.</t>
        </is>
      </c>
      <c r="I54" s="57" t="inlineStr"/>
    </row>
    <row r="55" ht="24" customHeight="1">
      <c r="A55" s="58" t="n">
        <v>54</v>
      </c>
      <c r="B55" s="59" t="inlineStr">
        <is>
          <t>LIVE-53</t>
        </is>
      </c>
      <c r="C55" s="60" t="inlineStr">
        <is>
          <t>Heartline Paperclip Necklace</t>
        </is>
      </c>
      <c r="D55" s="59" t="inlineStr">
        <is>
          <t>Live · Rs 1,899 · in stock · photo 7/10</t>
        </is>
      </c>
      <c r="E55" s="58" t="inlineStr">
        <is>
          <t>Necklace</t>
        </is>
      </c>
      <c r="F55" s="9" t="n">
        <v>7</v>
      </c>
      <c r="G55" s="56">
        <f>IF(F55&gt;=9,"Hero",IF(F55&gt;=7,"Strong",IF(F55&gt;=5,"Viable",IF(F55=4,"Weak","Exclude"))))</f>
        <v/>
      </c>
      <c r="H55" s="60" t="inlineStr">
        <is>
          <t>Half paperclip, half pave hearts; hearts are their top motif, paperclip is a top format. Photo: Fine.</t>
        </is>
      </c>
      <c r="I55" s="61" t="inlineStr"/>
    </row>
    <row r="56" ht="24" customHeight="1">
      <c r="A56" s="53" t="n">
        <v>55</v>
      </c>
      <c r="B56" s="54" t="inlineStr">
        <is>
          <t>LIVE-54</t>
        </is>
      </c>
      <c r="C56" s="55" t="inlineStr">
        <is>
          <t>Rivière Eternal Necklace</t>
        </is>
      </c>
      <c r="D56" s="54" t="inlineStr">
        <is>
          <t>Live · Rs 1,799 · out of stock · photo 7/10</t>
        </is>
      </c>
      <c r="E56" s="53" t="inlineStr">
        <is>
          <t>Necklace</t>
        </is>
      </c>
      <c r="F56" s="9" t="n">
        <v>8</v>
      </c>
      <c r="G56" s="56">
        <f>IF(F56&gt;=9,"Hero",IF(F56&gt;=7,"Strong",IF(F56&gt;=5,"Viable",IF(F56=4,"Weak","Exclude"))))</f>
        <v/>
      </c>
      <c r="H56" s="55" t="inlineStr">
        <is>
          <t>Gold tennis necklace; occasion staple. Photo: Stones blur; needs a macro.</t>
        </is>
      </c>
      <c r="I56" s="57" t="inlineStr"/>
    </row>
    <row r="57" ht="24" customHeight="1">
      <c r="A57" s="58" t="n">
        <v>56</v>
      </c>
      <c r="B57" s="59" t="inlineStr">
        <is>
          <t>CAP-zircone-solitaire</t>
        </is>
      </c>
      <c r="C57" s="60" t="inlineStr">
        <is>
          <t>The Zircone Solitaire</t>
        </is>
      </c>
      <c r="D57" s="59" t="inlineStr">
        <is>
          <t>Pre-order capsule · Rs 4,500 internal · 18k plated · photo 9/10</t>
        </is>
      </c>
      <c r="E57" s="58" t="inlineStr">
        <is>
          <t>Ring</t>
        </is>
      </c>
      <c r="F57" s="12" t="n">
        <v>5</v>
      </c>
      <c r="G57" s="63">
        <f>IF(F57&gt;=9,"Hero",IF(F57&gt;=7,"Strong",IF(F57&gt;=5,"Viable",IF(F57=4,"Weak","Exclude"))))</f>
        <v/>
      </c>
      <c r="H57" s="60" t="inlineStr">
        <is>
          <t>A round solitaire is a nine motif, but Rs 4,500 plated sits above every demi-fine p95 and Rs 800 under Palmonas' cheapest 9kt gold lab-diamond piece; the shopper compares it to real gold. Photo: Beautiful render; reads as fine jewellery, but no skin or scale reference anywhere.</t>
        </is>
      </c>
      <c r="I57" s="61" t="inlineStr">
        <is>
          <t>price band</t>
        </is>
      </c>
    </row>
    <row r="58" ht="24" customHeight="1">
      <c r="A58" s="53" t="n">
        <v>57</v>
      </c>
      <c r="B58" s="54" t="inlineStr">
        <is>
          <t>CAP-zircone-halo-studs</t>
        </is>
      </c>
      <c r="C58" s="55" t="inlineStr">
        <is>
          <t>Zircone Halo Studs</t>
        </is>
      </c>
      <c r="D58" s="54" t="inlineStr">
        <is>
          <t>Pre-order capsule · Rs 3,600 internal · 18k plated · photo 9/10</t>
        </is>
      </c>
      <c r="E58" s="53" t="inlineStr">
        <is>
          <t>Earrings</t>
        </is>
      </c>
      <c r="F58" s="12" t="n">
        <v>6</v>
      </c>
      <c r="G58" s="63">
        <f>IF(F58&gt;=9,"Hero",IF(F58&gt;=7,"Strong",IF(F58&gt;=5,"Viable",IF(F58=4,"Weak","Exclude"))))</f>
        <v/>
      </c>
      <c r="H58" s="55" t="inlineStr">
        <is>
          <t>Halo studs are the default gift stud; Rs 3,600 is above their earring p75 of Rs 2,785 but still clearly under gold. Photo: Crisp; halo reads.</t>
        </is>
      </c>
      <c r="I58" s="57" t="inlineStr">
        <is>
          <t>price band</t>
        </is>
      </c>
    </row>
    <row r="59" ht="24" customHeight="1">
      <c r="A59" s="58" t="n">
        <v>58</v>
      </c>
      <c r="B59" s="59" t="inlineStr">
        <is>
          <t>CAP-marigold-signet-ring</t>
        </is>
      </c>
      <c r="C59" s="60" t="inlineStr">
        <is>
          <t>Marigold Signet Ring</t>
        </is>
      </c>
      <c r="D59" s="59" t="inlineStr">
        <is>
          <t>Pre-order capsule · Rs 3,900 internal · 18k plated · photo 9/10</t>
        </is>
      </c>
      <c r="E59" s="58" t="inlineStr">
        <is>
          <t>Ring</t>
        </is>
      </c>
      <c r="F59" s="12" t="n">
        <v>6</v>
      </c>
      <c r="G59" s="63">
        <f>IF(F59&gt;=9,"Hero",IF(F59&gt;=7,"Strong",IF(F59&gt;=5,"Viable",IF(F59=4,"Weak","Exclude"))))</f>
        <v/>
      </c>
      <c r="H59" s="60" t="inlineStr">
        <is>
          <t>A textured marigold with a blush stone is the most brand-defining piece in the capsule; floral sells out 49 percent at Palmonas, but Rs 3,900 is nearly double their floral median. Photo: Texture is superb; a hand shot would fix the scale question.</t>
        </is>
      </c>
      <c r="I59" s="61" t="inlineStr">
        <is>
          <t>price band</t>
        </is>
      </c>
    </row>
    <row r="60" ht="24" customHeight="1">
      <c r="A60" s="53" t="n">
        <v>59</v>
      </c>
      <c r="B60" s="54" t="inlineStr">
        <is>
          <t>CAP-sage-vine-band</t>
        </is>
      </c>
      <c r="C60" s="55" t="inlineStr">
        <is>
          <t>Sage Vine Band</t>
        </is>
      </c>
      <c r="D60" s="54" t="inlineStr">
        <is>
          <t>Pre-order capsule · Rs 3,200 internal · 18k plated · photo 9/10</t>
        </is>
      </c>
      <c r="E60" s="53" t="inlineStr">
        <is>
          <t>Ring</t>
        </is>
      </c>
      <c r="F60" s="9" t="n">
        <v>7</v>
      </c>
      <c r="G60" s="56">
        <f>IF(F60&gt;=9,"Hero",IF(F60&gt;=7,"Strong",IF(F60&gt;=5,"Viable",IF(F60=4,"Weak","Exclude"))))</f>
        <v/>
      </c>
      <c r="H60" s="55" t="inlineStr">
        <is>
          <t>Leaf and vine pieces have the highest sell-through of any motif at Palmonas at 60 percent, on only 44 SKUs; demand exceeds supply and this is the capsule's entry ring. Photo: Delicate; reads well.</t>
        </is>
      </c>
      <c r="I60" s="57" t="inlineStr"/>
    </row>
    <row r="61" ht="24" customHeight="1">
      <c r="A61" s="58" t="n">
        <v>60</v>
      </c>
      <c r="B61" s="59" t="inlineStr">
        <is>
          <t>CAP-pressed-petal-drops</t>
        </is>
      </c>
      <c r="C61" s="60" t="inlineStr">
        <is>
          <t>Pressed Petal Drops</t>
        </is>
      </c>
      <c r="D61" s="59" t="inlineStr">
        <is>
          <t>Pre-order capsule · Rs 4,800 internal · 18k plated · photo 9/10</t>
        </is>
      </c>
      <c r="E61" s="58" t="inlineStr">
        <is>
          <t>Earrings</t>
        </is>
      </c>
      <c r="F61" s="12" t="n">
        <v>6</v>
      </c>
      <c r="G61" s="63">
        <f>IF(F61&gt;=9,"Hero",IF(F61&gt;=7,"Strong",IF(F61&gt;=5,"Viable",IF(F61=4,"Weak","Exclude"))))</f>
        <v/>
      </c>
      <c r="H61" s="60" t="inlineStr">
        <is>
          <t>Real pressed flowers in resin is a format Palmonas does not carry at all; distinctive and giftable, but Rs 4,800 and resin-durability questions narrow the buyer. Photo: Petal detail is the story; the render tells it.</t>
        </is>
      </c>
      <c r="I61" s="61" t="inlineStr">
        <is>
          <t>price band; durability perception</t>
        </is>
      </c>
    </row>
    <row r="62" ht="24" customHeight="1">
      <c r="A62" s="53" t="n">
        <v>61</v>
      </c>
      <c r="B62" s="54" t="inlineStr">
        <is>
          <t>CAP-bloom-studs</t>
        </is>
      </c>
      <c r="C62" s="55" t="inlineStr">
        <is>
          <t>Bloom Studs</t>
        </is>
      </c>
      <c r="D62" s="54" t="inlineStr">
        <is>
          <t>Pre-order capsule · Rs 2,900 internal · 18k plated · photo 9/10</t>
        </is>
      </c>
      <c r="E62" s="53" t="inlineStr">
        <is>
          <t>Earrings</t>
        </is>
      </c>
      <c r="F62" s="9" t="n">
        <v>7</v>
      </c>
      <c r="G62" s="56">
        <f>IF(F62&gt;=9,"Hero",IF(F62&gt;=7,"Strong",IF(F62&gt;=5,"Viable",IF(F62=4,"Weak","Exclude"))))</f>
        <v/>
      </c>
      <c r="H62" s="55" t="inlineStr">
        <is>
          <t>Daisy studs with a sage cabochon; a daisy necklace sits in Palmonas' bestseller list, and at Rs 2,900 this is the capsule's most accessible piece. Photo: Clean.</t>
        </is>
      </c>
      <c r="I62" s="57" t="inlineStr"/>
    </row>
    <row r="63" ht="24" customHeight="1">
      <c r="A63" s="58" t="n">
        <v>62</v>
      </c>
      <c r="B63" s="59" t="inlineStr">
        <is>
          <t>CAP-chandbali-florale</t>
        </is>
      </c>
      <c r="C63" s="60" t="inlineStr">
        <is>
          <t>Chandbali Florale</t>
        </is>
      </c>
      <c r="D63" s="59" t="inlineStr">
        <is>
          <t>Pre-order capsule · Rs 5,600 internal · 18k plated · photo 9/10</t>
        </is>
      </c>
      <c r="E63" s="58" t="inlineStr">
        <is>
          <t>Earrings</t>
        </is>
      </c>
      <c r="F63" s="9" t="n">
        <v>7</v>
      </c>
      <c r="G63" s="56">
        <f>IF(F63&gt;=9,"Hero",IF(F63&gt;=7,"Strong",IF(F63&gt;=5,"Viable",IF(F63=4,"Weak","Exclude"))))</f>
        <v/>
      </c>
      <c r="H63" s="60" t="inlineStr">
        <is>
          <t>Palmonas has one chandbali in demi-fine and it is sold out; their ethnic pieces sell out 60 percent at a Rs 3,709 median. An underserved pocket, and this owns it, if Rs 5,600 holds. Photo: Filigree reads; would sing on a model.</t>
        </is>
      </c>
      <c r="I63" s="61" t="inlineStr">
        <is>
          <t>price band</t>
        </is>
      </c>
    </row>
    <row r="64" ht="24" customHeight="1">
      <c r="A64" s="53" t="n">
        <v>63</v>
      </c>
      <c r="B64" s="54" t="inlineStr">
        <is>
          <t>AUD-R01 YF7016-GLD</t>
        </is>
      </c>
      <c r="C64" s="55" t="inlineStr">
        <is>
          <t>Tandem Chain Rings</t>
        </is>
      </c>
      <c r="D64" s="54" t="inlineStr">
        <is>
          <t>Type Audit · Rs 1,649 · New factory · photo 8/10</t>
        </is>
      </c>
      <c r="E64" s="53" t="inlineStr">
        <is>
          <t>Ring</t>
        </is>
      </c>
      <c r="F64" s="12" t="n">
        <v>6</v>
      </c>
      <c r="G64" s="63">
        <f>IF(F64&gt;=9,"Hero",IF(F64&gt;=7,"Strong",IF(F64&gt;=5,"Viable",IF(F64=4,"Weak","Exclude"))))</f>
        <v/>
      </c>
      <c r="H64" s="55" t="inlineStr">
        <is>
          <t>Two screw-motif rings on a box chain; the chain-ring format is live, but the screw band reads as a Cartier Love reference. Photo: Plinth; reads.</t>
        </is>
      </c>
      <c r="I64" s="57" t="inlineStr">
        <is>
          <t>IP-adjacent (Love screw)</t>
        </is>
      </c>
    </row>
    <row r="65" ht="24" customHeight="1">
      <c r="A65" s="58" t="n">
        <v>64</v>
      </c>
      <c r="B65" s="59" t="inlineStr">
        <is>
          <t>AUD-R02 YF7016-SLV</t>
        </is>
      </c>
      <c r="C65" s="60" t="inlineStr">
        <is>
          <t>Tandem Chain Rings — Silver</t>
        </is>
      </c>
      <c r="D65" s="59" t="inlineStr">
        <is>
          <t>Type Audit · Rs 1,649 · New factory · photo 8/10</t>
        </is>
      </c>
      <c r="E65" s="58" t="inlineStr">
        <is>
          <t>Ring</t>
        </is>
      </c>
      <c r="F65" s="12" t="n">
        <v>5</v>
      </c>
      <c r="G65" s="63">
        <f>IF(F65&gt;=9,"Hero",IF(F65&gt;=7,"Strong",IF(F65&gt;=5,"Viable",IF(F65=4,"Weak","Exclude"))))</f>
        <v/>
      </c>
      <c r="H65" s="60" t="inlineStr">
        <is>
          <t>Silver twin; same reference, slower metal. Photo: Plinth; reads.</t>
        </is>
      </c>
      <c r="I65" s="61" t="inlineStr">
        <is>
          <t>IP-adjacent (Love screw)</t>
        </is>
      </c>
    </row>
    <row r="66" ht="24" customHeight="1">
      <c r="A66" s="53" t="n">
        <v>65</v>
      </c>
      <c r="B66" s="54" t="inlineStr">
        <is>
          <t>AUD-R03 YF3165-NEC</t>
        </is>
      </c>
      <c r="C66" s="55" t="inlineStr">
        <is>
          <t>Baguette Rivière Choker</t>
        </is>
      </c>
      <c r="D66" s="54" t="inlineStr">
        <is>
          <t>Type Audit · Rs 2,749 · New factory · photo 8/10</t>
        </is>
      </c>
      <c r="E66" s="53" t="inlineStr">
        <is>
          <t>Necklace</t>
        </is>
      </c>
      <c r="F66" s="9" t="n">
        <v>8</v>
      </c>
      <c r="G66" s="56">
        <f>IF(F66&gt;=9,"Hero",IF(F66&gt;=7,"Strong",IF(F66&gt;=5,"Viable",IF(F66=4,"Weak","Exclude"))))</f>
        <v/>
      </c>
      <c r="H66" s="55" t="inlineStr">
        <is>
          <t>Baguette tennis choker; deco, occasion-ready, photographs beautifully. Photo: Plinth; stones crisp.</t>
        </is>
      </c>
      <c r="I66" s="57" t="inlineStr"/>
    </row>
    <row r="67" ht="24" customHeight="1">
      <c r="A67" s="58" t="n">
        <v>66</v>
      </c>
      <c r="B67" s="59" t="inlineStr">
        <is>
          <t>AUD-R04 YF3165-NEC-LIL</t>
        </is>
      </c>
      <c r="C67" s="60" t="inlineStr">
        <is>
          <t>Baguette Rivière Choker — Lilac</t>
        </is>
      </c>
      <c r="D67" s="59" t="inlineStr">
        <is>
          <t>Type Audit · Rs 2,749 · New factory · photo 7/10</t>
        </is>
      </c>
      <c r="E67" s="58" t="inlineStr">
        <is>
          <t>Necklace</t>
        </is>
      </c>
      <c r="F67" s="12" t="n">
        <v>5</v>
      </c>
      <c r="G67" s="63">
        <f>IF(F67&gt;=9,"Hero",IF(F67&gt;=7,"Strong",IF(F67&gt;=5,"Viable",IF(F67=4,"Weak","Exclude"))))</f>
        <v/>
      </c>
      <c r="H67" s="60" t="inlineStr">
        <is>
          <t>Lilac colourway; purple stones read young and narrow the buyer. Photo: Plinth.</t>
        </is>
      </c>
      <c r="I67" s="61" t="inlineStr">
        <is>
          <t>pastel / purple</t>
        </is>
      </c>
    </row>
    <row r="68" ht="24" customHeight="1">
      <c r="A68" s="53" t="n">
        <v>67</v>
      </c>
      <c r="B68" s="54" t="inlineStr">
        <is>
          <t>AUD-R05 YF3165-NEC-RBY</t>
        </is>
      </c>
      <c r="C68" s="55" t="inlineStr">
        <is>
          <t>Baguette Rivière Choker — Ruby</t>
        </is>
      </c>
      <c r="D68" s="54" t="inlineStr">
        <is>
          <t>Type Audit · Rs 2,749 · New factory · photo 8/10</t>
        </is>
      </c>
      <c r="E68" s="53" t="inlineStr">
        <is>
          <t>Necklace</t>
        </is>
      </c>
      <c r="F68" s="9" t="n">
        <v>7</v>
      </c>
      <c r="G68" s="56">
        <f>IF(F68&gt;=9,"Hero",IF(F68&gt;=7,"Strong",IF(F68&gt;=5,"Viable",IF(F68=4,"Weak","Exclude"))))</f>
        <v/>
      </c>
      <c r="H68" s="55" t="inlineStr">
        <is>
          <t>Ruby colourway; red reads festive and bridal-adjacent, strong India pull. Photo: Model shot, the best of the row.</t>
        </is>
      </c>
      <c r="I68" s="57" t="inlineStr"/>
    </row>
    <row r="69" ht="24" customHeight="1">
      <c r="A69" s="58" t="n">
        <v>68</v>
      </c>
      <c r="B69" s="59" t="inlineStr">
        <is>
          <t>AUD-R06 YF3165-NEC-VRD</t>
        </is>
      </c>
      <c r="C69" s="60" t="inlineStr">
        <is>
          <t>Baguette Rivière Choker — Verdant</t>
        </is>
      </c>
      <c r="D69" s="59" t="inlineStr">
        <is>
          <t>Type Audit · Rs 2,749 · New factory · photo 8/10</t>
        </is>
      </c>
      <c r="E69" s="58" t="inlineStr">
        <is>
          <t>Necklace</t>
        </is>
      </c>
      <c r="F69" s="9" t="n">
        <v>8</v>
      </c>
      <c r="G69" s="56">
        <f>IF(F69&gt;=9,"Hero",IF(F69&gt;=7,"Strong",IF(F69&gt;=5,"Viable",IF(F69=4,"Weak","Exclude"))))</f>
        <v/>
      </c>
      <c r="H69" s="60" t="inlineStr">
        <is>
          <t>Emerald colourway; green sells out 56 percent at Palmonas, above their average. Photo: Plinth; colour reads.</t>
        </is>
      </c>
      <c r="I69" s="61" t="inlineStr"/>
    </row>
    <row r="70" ht="24" customHeight="1">
      <c r="A70" s="53" t="n">
        <v>69</v>
      </c>
      <c r="B70" s="54" t="inlineStr">
        <is>
          <t>AUD-R07 YF3165-BRA</t>
        </is>
      </c>
      <c r="C70" s="55" t="inlineStr">
        <is>
          <t>Baguette Rivière Bracelet</t>
        </is>
      </c>
      <c r="D70" s="54" t="inlineStr">
        <is>
          <t>Type Audit · Rs 1,899 · New factory · photo 8/10</t>
        </is>
      </c>
      <c r="E70" s="53" t="inlineStr">
        <is>
          <t>Bracelet</t>
        </is>
      </c>
      <c r="F70" s="9" t="n">
        <v>8</v>
      </c>
      <c r="G70" s="56">
        <f>IF(F70&gt;=9,"Hero",IF(F70&gt;=7,"Strong",IF(F70&gt;=5,"Viable",IF(F70=4,"Weak","Exclude"))))</f>
        <v/>
      </c>
      <c r="H70" s="55" t="inlineStr">
        <is>
          <t>Baguette tennis bracelet; the bracelet staple in its grown-up cut. Photo: Plinth.</t>
        </is>
      </c>
      <c r="I70" s="57" t="inlineStr"/>
    </row>
    <row r="71" ht="24" customHeight="1">
      <c r="A71" s="58" t="n">
        <v>70</v>
      </c>
      <c r="B71" s="59" t="inlineStr">
        <is>
          <t>AUD-R08 YF3165-BRA-LIL</t>
        </is>
      </c>
      <c r="C71" s="60" t="inlineStr">
        <is>
          <t>Baguette Rivière Bracelet — Lilac</t>
        </is>
      </c>
      <c r="D71" s="59" t="inlineStr">
        <is>
          <t>Type Audit · Rs 1,899 · New factory · photo 7/10</t>
        </is>
      </c>
      <c r="E71" s="58" t="inlineStr">
        <is>
          <t>Bracelet</t>
        </is>
      </c>
      <c r="F71" s="12" t="n">
        <v>5</v>
      </c>
      <c r="G71" s="63">
        <f>IF(F71&gt;=9,"Hero",IF(F71&gt;=7,"Strong",IF(F71&gt;=5,"Viable",IF(F71=4,"Weak","Exclude"))))</f>
        <v/>
      </c>
      <c r="H71" s="60" t="inlineStr">
        <is>
          <t>Lilac bracelet; same purple caution. Photo: Model shot.</t>
        </is>
      </c>
      <c r="I71" s="61" t="inlineStr">
        <is>
          <t>pastel / purple</t>
        </is>
      </c>
    </row>
    <row r="72" ht="24" customHeight="1">
      <c r="A72" s="53" t="n">
        <v>71</v>
      </c>
      <c r="B72" s="54" t="inlineStr">
        <is>
          <t>AUD-R09 YF3165-BRA-RBY</t>
        </is>
      </c>
      <c r="C72" s="55" t="inlineStr">
        <is>
          <t>Baguette Rivière Bracelet — Ruby</t>
        </is>
      </c>
      <c r="D72" s="54" t="inlineStr">
        <is>
          <t>Type Audit · Rs 1,899 · New factory · photo 8/10</t>
        </is>
      </c>
      <c r="E72" s="53" t="inlineStr">
        <is>
          <t>Bracelet</t>
        </is>
      </c>
      <c r="F72" s="9" t="n">
        <v>7</v>
      </c>
      <c r="G72" s="56">
        <f>IF(F72&gt;=9,"Hero",IF(F72&gt;=7,"Strong",IF(F72&gt;=5,"Viable",IF(F72=4,"Weak","Exclude"))))</f>
        <v/>
      </c>
      <c r="H72" s="55" t="inlineStr">
        <is>
          <t>Ruby bracelet; festive pull. Photo: Plinth.</t>
        </is>
      </c>
      <c r="I72" s="57" t="inlineStr"/>
    </row>
    <row r="73" ht="24" customHeight="1">
      <c r="A73" s="58" t="n">
        <v>72</v>
      </c>
      <c r="B73" s="59" t="inlineStr">
        <is>
          <t>AUD-R10 YF3165-BRA-VRD</t>
        </is>
      </c>
      <c r="C73" s="60" t="inlineStr">
        <is>
          <t>Baguette Rivière Bracelet — Verdant</t>
        </is>
      </c>
      <c r="D73" s="59" t="inlineStr">
        <is>
          <t>Type Audit · Rs 1,899 · New factory · photo 8/10</t>
        </is>
      </c>
      <c r="E73" s="58" t="inlineStr">
        <is>
          <t>Bracelet</t>
        </is>
      </c>
      <c r="F73" s="9" t="n">
        <v>8</v>
      </c>
      <c r="G73" s="56">
        <f>IF(F73&gt;=9,"Hero",IF(F73&gt;=7,"Strong",IF(F73&gt;=5,"Viable",IF(F73=4,"Weak","Exclude"))))</f>
        <v/>
      </c>
      <c r="H73" s="60" t="inlineStr">
        <is>
          <t>Emerald bracelet; the strongest colourway of the four. Photo: Model shot.</t>
        </is>
      </c>
      <c r="I73" s="61" t="inlineStr"/>
    </row>
    <row r="74" ht="24" customHeight="1">
      <c r="A74" s="53" t="n">
        <v>73</v>
      </c>
      <c r="B74" s="54" t="inlineStr">
        <is>
          <t>AUD-R11 YF2604-ETY</t>
        </is>
      </c>
      <c r="C74" s="55" t="inlineStr">
        <is>
          <t>Baguette Eternity Band</t>
        </is>
      </c>
      <c r="D74" s="54" t="inlineStr">
        <is>
          <t>Type Audit · Rs 2,599 · New factory · photo 8/10</t>
        </is>
      </c>
      <c r="E74" s="53" t="inlineStr">
        <is>
          <t>Ring</t>
        </is>
      </c>
      <c r="F74" s="9" t="n">
        <v>7</v>
      </c>
      <c r="G74" s="56">
        <f>IF(F74&gt;=9,"Hero",IF(F74&gt;=7,"Strong",IF(F74&gt;=5,"Viable",IF(F74=4,"Weak","Exclude"))))</f>
        <v/>
      </c>
      <c r="H74" s="55" t="inlineStr">
        <is>
          <t>Full baguette eternity band; sound, but Rs 2,599 is the top of the ring range. Photo: Plinth.</t>
        </is>
      </c>
      <c r="I74" s="57" t="inlineStr"/>
    </row>
    <row r="75" ht="24" customHeight="1">
      <c r="A75" s="58" t="n">
        <v>74</v>
      </c>
      <c r="B75" s="59" t="inlineStr">
        <is>
          <t>AUD-R12 YF2604-PAP</t>
        </is>
      </c>
      <c r="C75" s="60" t="inlineStr">
        <is>
          <t>Papillon Baguette Ring</t>
        </is>
      </c>
      <c r="D75" s="59" t="inlineStr">
        <is>
          <t>Type Audit · Rs 2,599 · New factory · photo 8/10</t>
        </is>
      </c>
      <c r="E75" s="58" t="inlineStr">
        <is>
          <t>Ring</t>
        </is>
      </c>
      <c r="F75" s="12" t="n">
        <v>5</v>
      </c>
      <c r="G75" s="63">
        <f>IF(F75&gt;=9,"Hero",IF(F75&gt;=7,"Strong",IF(F75&gt;=5,"Viable",IF(F75=4,"Weak","Exclude"))))</f>
        <v/>
      </c>
      <c r="H75" s="60" t="inlineStr">
        <is>
          <t>Baguette butterfly ring; a grown-up cut of a motif that still reads young. Photo: Plinth.</t>
        </is>
      </c>
      <c r="I75" s="61" t="inlineStr">
        <is>
          <t>young motif</t>
        </is>
      </c>
    </row>
    <row r="76" ht="24" customHeight="1">
      <c r="A76" s="53" t="n">
        <v>75</v>
      </c>
      <c r="B76" s="54" t="inlineStr">
        <is>
          <t>AUD-R13 YF2604-LNK</t>
        </is>
      </c>
      <c r="C76" s="55" t="inlineStr">
        <is>
          <t>Pavé Link Ring</t>
        </is>
      </c>
      <c r="D76" s="54" t="inlineStr">
        <is>
          <t>Type Audit · Rs 2,599 · New factory · photo 8/10</t>
        </is>
      </c>
      <c r="E76" s="53" t="inlineStr">
        <is>
          <t>Ring</t>
        </is>
      </c>
      <c r="F76" s="9" t="n">
        <v>7</v>
      </c>
      <c r="G76" s="56">
        <f>IF(F76&gt;=9,"Hero",IF(F76&gt;=7,"Strong",IF(F76&gt;=5,"Viable",IF(F76=4,"Weak","Exclude"))))</f>
        <v/>
      </c>
      <c r="H76" s="55" t="inlineStr">
        <is>
          <t>Pave paperclip-link ring; paperclip is a top format, price is high for a ring. Photo: Plinth.</t>
        </is>
      </c>
      <c r="I76" s="57" t="inlineStr"/>
    </row>
    <row r="77" ht="24" customHeight="1">
      <c r="A77" s="58" t="n">
        <v>76</v>
      </c>
      <c r="B77" s="59" t="inlineStr">
        <is>
          <t>AUD-R14 YF7017-GLD</t>
        </is>
      </c>
      <c r="C77" s="60" t="inlineStr">
        <is>
          <t>Trio Pavé Ring</t>
        </is>
      </c>
      <c r="D77" s="59" t="inlineStr">
        <is>
          <t>Type Audit · Rs 1,999 · New factory · photo 8/10</t>
        </is>
      </c>
      <c r="E77" s="58" t="inlineStr">
        <is>
          <t>Ring</t>
        </is>
      </c>
      <c r="F77" s="12" t="n">
        <v>6</v>
      </c>
      <c r="G77" s="63">
        <f>IF(F77&gt;=9,"Hero",IF(F77&gt;=7,"Strong",IF(F77&gt;=5,"Viable",IF(F77=4,"Weak","Exclude"))))</f>
        <v/>
      </c>
      <c r="H77" s="60" t="inlineStr">
        <is>
          <t>Three-band pave ring with bars; handsome, mid demand. Photo: Plinth.</t>
        </is>
      </c>
      <c r="I77" s="61" t="inlineStr"/>
    </row>
    <row r="78" ht="24" customHeight="1">
      <c r="A78" s="53" t="n">
        <v>77</v>
      </c>
      <c r="B78" s="54" t="inlineStr">
        <is>
          <t>AUD-R15 NF-SWAG-GLD</t>
        </is>
      </c>
      <c r="C78" s="55" t="inlineStr">
        <is>
          <t>Dewdrop Swag Ring</t>
        </is>
      </c>
      <c r="D78" s="54" t="inlineStr">
        <is>
          <t>Type Audit · Rs 1,899 · New factory · photo 7/10</t>
        </is>
      </c>
      <c r="E78" s="53" t="inlineStr">
        <is>
          <t>Ring</t>
        </is>
      </c>
      <c r="F78" s="12" t="n">
        <v>5</v>
      </c>
      <c r="G78" s="63">
        <f>IF(F78&gt;=9,"Hero",IF(F78&gt;=7,"Strong",IF(F78&gt;=5,"Viable",IF(F78=4,"Weak","Exclude"))))</f>
        <v/>
      </c>
      <c r="H78" s="55" t="inlineStr">
        <is>
          <t>Band with a hanging chain and drop; gimmick-led, weak repeat purchase. Photo: Plinth.</t>
        </is>
      </c>
      <c r="I78" s="57" t="inlineStr">
        <is>
          <t>novelty format</t>
        </is>
      </c>
    </row>
    <row r="79" ht="24" customHeight="1">
      <c r="A79" s="58" t="n">
        <v>78</v>
      </c>
      <c r="B79" s="59" t="inlineStr">
        <is>
          <t>AUD-R16 NF-SWAG-SLV</t>
        </is>
      </c>
      <c r="C79" s="60" t="inlineStr">
        <is>
          <t>Dewdrop Swag Ring — Silver</t>
        </is>
      </c>
      <c r="D79" s="59" t="inlineStr">
        <is>
          <t>Type Audit · Rs 1,899 · New factory · photo 7/10</t>
        </is>
      </c>
      <c r="E79" s="58" t="inlineStr">
        <is>
          <t>Ring</t>
        </is>
      </c>
      <c r="F79" s="15" t="n">
        <v>4</v>
      </c>
      <c r="G79" s="64">
        <f>IF(F79&gt;=9,"Hero",IF(F79&gt;=7,"Strong",IF(F79&gt;=5,"Viable",IF(F79=4,"Weak","Exclude"))))</f>
        <v/>
      </c>
      <c r="H79" s="60" t="inlineStr">
        <is>
          <t>Silver swag ring; slower still. Photo: Plinth.</t>
        </is>
      </c>
      <c r="I79" s="61" t="inlineStr">
        <is>
          <t>novelty format</t>
        </is>
      </c>
    </row>
    <row r="80" ht="24" customHeight="1">
      <c r="A80" s="53" t="n">
        <v>79</v>
      </c>
      <c r="B80" s="54" t="inlineStr">
        <is>
          <t>AUD-R17 YF2645-GLD</t>
        </is>
      </c>
      <c r="C80" s="55" t="inlineStr">
        <is>
          <t>Deco Link Ring</t>
        </is>
      </c>
      <c r="D80" s="54" t="inlineStr">
        <is>
          <t>Type Audit · Rs 1,399 · New factory · photo 8/10</t>
        </is>
      </c>
      <c r="E80" s="53" t="inlineStr">
        <is>
          <t>Ring</t>
        </is>
      </c>
      <c r="F80" s="12" t="n">
        <v>6</v>
      </c>
      <c r="G80" s="63">
        <f>IF(F80&gt;=9,"Hero",IF(F80&gt;=7,"Strong",IF(F80&gt;=5,"Viable",IF(F80=4,"Weak","Exclude"))))</f>
        <v/>
      </c>
      <c r="H80" s="55" t="inlineStr">
        <is>
          <t>Watch-link band ring; the jubilee-strap look is live in bold rings. Photo: Plinth.</t>
        </is>
      </c>
      <c r="I80" s="57" t="inlineStr"/>
    </row>
    <row r="81" ht="24" customHeight="1">
      <c r="A81" s="58" t="n">
        <v>80</v>
      </c>
      <c r="B81" s="59" t="inlineStr">
        <is>
          <t>AUD-R18 YF2645-SLV</t>
        </is>
      </c>
      <c r="C81" s="60" t="inlineStr">
        <is>
          <t>Deco Link Ring — Silver</t>
        </is>
      </c>
      <c r="D81" s="59" t="inlineStr">
        <is>
          <t>Type Audit · Rs 1,399 · New factory · photo 8/10</t>
        </is>
      </c>
      <c r="E81" s="58" t="inlineStr">
        <is>
          <t>Ring</t>
        </is>
      </c>
      <c r="F81" s="12" t="n">
        <v>5</v>
      </c>
      <c r="G81" s="63">
        <f>IF(F81&gt;=9,"Hero",IF(F81&gt;=7,"Strong",IF(F81&gt;=5,"Viable",IF(F81=4,"Weak","Exclude"))))</f>
        <v/>
      </c>
      <c r="H81" s="60" t="inlineStr">
        <is>
          <t>Silver watch-link ring. Photo: Plinth.</t>
        </is>
      </c>
      <c r="I81" s="61" t="inlineStr"/>
    </row>
    <row r="82" ht="24" customHeight="1">
      <c r="A82" s="53" t="n">
        <v>81</v>
      </c>
      <c r="B82" s="54" t="inlineStr">
        <is>
          <t>AUD-R19 YF3652-CLR</t>
        </is>
      </c>
      <c r="C82" s="55" t="inlineStr">
        <is>
          <t>Dewdrop Ear Cuff</t>
        </is>
      </c>
      <c r="D82" s="54" t="inlineStr">
        <is>
          <t>Type Audit · Rs 1,399 · New factory · photo 7/10</t>
        </is>
      </c>
      <c r="E82" s="53" t="inlineStr">
        <is>
          <t>Earrings</t>
        </is>
      </c>
      <c r="F82" s="15" t="n">
        <v>4</v>
      </c>
      <c r="G82" s="64">
        <f>IF(F82&gt;=9,"Hero",IF(F82&gt;=7,"Strong",IF(F82&gt;=5,"Viable",IF(F82=4,"Weak","Exclude"))))</f>
        <v/>
      </c>
      <c r="H82" s="55" t="inlineStr">
        <is>
          <t>Ear cuff with a pear CZ; ear cuffs are a slow format in India regardless of motif. Photo: Plinth.</t>
        </is>
      </c>
      <c r="I82" s="57" t="inlineStr">
        <is>
          <t>format (ear cuff)</t>
        </is>
      </c>
    </row>
    <row r="83" ht="24" customHeight="1">
      <c r="A83" s="58" t="n">
        <v>82</v>
      </c>
      <c r="B83" s="59" t="inlineStr">
        <is>
          <t>AUD-R20 YF3652-VRD</t>
        </is>
      </c>
      <c r="C83" s="60" t="inlineStr">
        <is>
          <t>Verdant Ear Cuff</t>
        </is>
      </c>
      <c r="D83" s="59" t="inlineStr">
        <is>
          <t>Type Audit · Rs 1,399 · New factory · photo 7/10</t>
        </is>
      </c>
      <c r="E83" s="58" t="inlineStr">
        <is>
          <t>Earrings</t>
        </is>
      </c>
      <c r="F83" s="15" t="n">
        <v>4</v>
      </c>
      <c r="G83" s="64">
        <f>IF(F83&gt;=9,"Hero",IF(F83&gt;=7,"Strong",IF(F83&gt;=5,"Viable",IF(F83=4,"Weak","Exclude"))))</f>
        <v/>
      </c>
      <c r="H83" s="60" t="inlineStr">
        <is>
          <t>Green ear cuff; same format friction. Photo: Plinth.</t>
        </is>
      </c>
      <c r="I83" s="61" t="inlineStr">
        <is>
          <t>format (ear cuff)</t>
        </is>
      </c>
    </row>
    <row r="84" ht="24" customHeight="1">
      <c r="A84" s="53" t="n">
        <v>83</v>
      </c>
      <c r="B84" s="54" t="inlineStr">
        <is>
          <t>AUD-R21 YF8508-CLR</t>
        </is>
      </c>
      <c r="C84" s="55" t="inlineStr">
        <is>
          <t>Trillion Eternity Band</t>
        </is>
      </c>
      <c r="D84" s="54" t="inlineStr">
        <is>
          <t>Type Audit · Rs 2,199 · New factory · photo 8/10</t>
        </is>
      </c>
      <c r="E84" s="53" t="inlineStr">
        <is>
          <t>Ring</t>
        </is>
      </c>
      <c r="F84" s="9" t="n">
        <v>7</v>
      </c>
      <c r="G84" s="56">
        <f>IF(F84&gt;=9,"Hero",IF(F84&gt;=7,"Strong",IF(F84&gt;=5,"Viable",IF(F84=4,"Weak","Exclude"))))</f>
        <v/>
      </c>
      <c r="H84" s="55" t="inlineStr">
        <is>
          <t>Trillion CZ eternity band; solid stack and gift ring. Photo: Plinth.</t>
        </is>
      </c>
      <c r="I84" s="57" t="inlineStr"/>
    </row>
    <row r="85" ht="24" customHeight="1">
      <c r="A85" s="58" t="n">
        <v>84</v>
      </c>
      <c r="B85" s="59" t="inlineStr">
        <is>
          <t>AUD-R22 YF8508-LIL</t>
        </is>
      </c>
      <c r="C85" s="60" t="inlineStr">
        <is>
          <t>Trillion Eternity Band — Lilac</t>
        </is>
      </c>
      <c r="D85" s="59" t="inlineStr">
        <is>
          <t>Type Audit · Rs 2,199 · New factory · photo 8/10</t>
        </is>
      </c>
      <c r="E85" s="58" t="inlineStr">
        <is>
          <t>Ring</t>
        </is>
      </c>
      <c r="F85" s="12" t="n">
        <v>5</v>
      </c>
      <c r="G85" s="63">
        <f>IF(F85&gt;=9,"Hero",IF(F85&gt;=7,"Strong",IF(F85&gt;=5,"Viable",IF(F85=4,"Weak","Exclude"))))</f>
        <v/>
      </c>
      <c r="H85" s="60" t="inlineStr">
        <is>
          <t>Lilac trillion band; purple caution. Photo: Plinth.</t>
        </is>
      </c>
      <c r="I85" s="61" t="inlineStr">
        <is>
          <t>pastel / purple</t>
        </is>
      </c>
    </row>
    <row r="86" ht="24" customHeight="1">
      <c r="A86" s="53" t="n">
        <v>85</v>
      </c>
      <c r="B86" s="54" t="inlineStr">
        <is>
          <t>AUD-R23 YF8508-PRS</t>
        </is>
      </c>
      <c r="C86" s="55" t="inlineStr">
        <is>
          <t>Trillion Eternity Band — Prism</t>
        </is>
      </c>
      <c r="D86" s="54" t="inlineStr">
        <is>
          <t>Type Audit · Rs 2,199 · New factory · photo 4/10</t>
        </is>
      </c>
      <c r="E86" s="53" t="inlineStr">
        <is>
          <t>Ring</t>
        </is>
      </c>
      <c r="F86" s="12" t="n">
        <v>5</v>
      </c>
      <c r="G86" s="63">
        <f>IF(F86&gt;=9,"Hero",IF(F86&gt;=7,"Strong",IF(F86&gt;=5,"Viable",IF(F86=4,"Weak","Exclude"))))</f>
        <v/>
      </c>
      <c r="H86" s="55" t="inlineStr">
        <is>
          <t>Lilac marquise eternity band; purple stones read young and narrow the buyer, though the eternity format itself is sound. Photo: Raw supplier white-ground shot, not yet on the plinth.</t>
        </is>
      </c>
      <c r="I86" s="57" t="inlineStr">
        <is>
          <t>pastel / purple</t>
        </is>
      </c>
    </row>
    <row r="87" ht="24" customHeight="1">
      <c r="A87" s="58" t="n">
        <v>86</v>
      </c>
      <c r="B87" s="59" t="inlineStr">
        <is>
          <t>AUD-R24 YF8508-SLV</t>
        </is>
      </c>
      <c r="C87" s="60" t="inlineStr">
        <is>
          <t>Trillion Eternity Band — Silver</t>
        </is>
      </c>
      <c r="D87" s="59" t="inlineStr">
        <is>
          <t>Type Audit · Rs 2,199 · New factory · photo 7/10</t>
        </is>
      </c>
      <c r="E87" s="58" t="inlineStr">
        <is>
          <t>Ring</t>
        </is>
      </c>
      <c r="F87" s="9" t="n">
        <v>7</v>
      </c>
      <c r="G87" s="56">
        <f>IF(F87&gt;=9,"Hero",IF(F87&gt;=7,"Strong",IF(F87&gt;=5,"Viable",IF(F87=4,"Weak","Exclude"))))</f>
        <v/>
      </c>
      <c r="H87" s="60" t="inlineStr">
        <is>
          <t>Marquise CZ eternity band in silver; a solid stacking and gifting format. Photo: On plinth, reads.</t>
        </is>
      </c>
      <c r="I87" s="61" t="inlineStr"/>
    </row>
    <row r="88" ht="24" customHeight="1">
      <c r="A88" s="53" t="n">
        <v>87</v>
      </c>
      <c r="B88" s="54" t="inlineStr">
        <is>
          <t>AUD-R25 YF8508-SLV-PRS</t>
        </is>
      </c>
      <c r="C88" s="55" t="inlineStr">
        <is>
          <t>Trillion Eternity Band — Prism Silver</t>
        </is>
      </c>
      <c r="D88" s="54" t="inlineStr">
        <is>
          <t>Type Audit · Rs 2,199 · New factory · photo 4/10</t>
        </is>
      </c>
      <c r="E88" s="53" t="inlineStr">
        <is>
          <t>Ring</t>
        </is>
      </c>
      <c r="F88" s="12" t="n">
        <v>5</v>
      </c>
      <c r="G88" s="63">
        <f>IF(F88&gt;=9,"Hero",IF(F88&gt;=7,"Strong",IF(F88&gt;=5,"Viable",IF(F88=4,"Weak","Exclude"))))</f>
        <v/>
      </c>
      <c r="H88" s="55" t="inlineStr">
        <is>
          <t>Prism-silver colourway of the same band; same purple caution. Photo: Reuses row 23's raw image; unshot.</t>
        </is>
      </c>
      <c r="I88" s="57" t="inlineStr">
        <is>
          <t>pastel / purple</t>
        </is>
      </c>
    </row>
    <row r="89" ht="24" customHeight="1">
      <c r="A89" s="58" t="n">
        <v>88</v>
      </c>
      <c r="B89" s="59" t="inlineStr">
        <is>
          <t>AUD-R26 YF3508-GLD</t>
        </is>
      </c>
      <c r="C89" s="60" t="inlineStr">
        <is>
          <t>Marquise Rivière Bangle</t>
        </is>
      </c>
      <c r="D89" s="59" t="inlineStr">
        <is>
          <t>Type Audit · Rs 2,299 · New factory · photo 7/10</t>
        </is>
      </c>
      <c r="E89" s="58" t="inlineStr">
        <is>
          <t>Bangle</t>
        </is>
      </c>
      <c r="F89" s="9" t="n">
        <v>7</v>
      </c>
      <c r="G89" s="56">
        <f>IF(F89&gt;=9,"Hero",IF(F89&gt;=7,"Strong",IF(F89&gt;=5,"Viable",IF(F89=4,"Weak","Exclude"))))</f>
        <v/>
      </c>
      <c r="H89" s="60" t="inlineStr">
        <is>
          <t>Full marquise CZ tennis bangle; occasion staple, and bangles are under-served in our live range. Photo: Plinth, fine.</t>
        </is>
      </c>
      <c r="I89" s="61" t="inlineStr"/>
    </row>
    <row r="90" ht="24" customHeight="1">
      <c r="A90" s="53" t="n">
        <v>89</v>
      </c>
      <c r="B90" s="54" t="inlineStr">
        <is>
          <t>AUD-R27 YF3508-SLV</t>
        </is>
      </c>
      <c r="C90" s="55" t="inlineStr">
        <is>
          <t>Marquise Rivière Bangle — Silver</t>
        </is>
      </c>
      <c r="D90" s="54" t="inlineStr">
        <is>
          <t>Type Audit · Rs 2,299 · New factory · photo 7/10</t>
        </is>
      </c>
      <c r="E90" s="53" t="inlineStr">
        <is>
          <t>Bangle</t>
        </is>
      </c>
      <c r="F90" s="12" t="n">
        <v>6</v>
      </c>
      <c r="G90" s="63">
        <f>IF(F90&gt;=9,"Hero",IF(F90&gt;=7,"Strong",IF(F90&gt;=5,"Viable",IF(F90=4,"Weak","Exclude"))))</f>
        <v/>
      </c>
      <c r="H90" s="55" t="inlineStr">
        <is>
          <t>Silver twin of the marquise bangle; splits demand. Photo: Plinth, fine.</t>
        </is>
      </c>
      <c r="I90" s="57" t="inlineStr"/>
    </row>
    <row r="91" ht="24" customHeight="1">
      <c r="A91" s="58" t="n">
        <v>90</v>
      </c>
      <c r="B91" s="59" t="inlineStr">
        <is>
          <t>AUD-R28 YF7059-GLD</t>
        </is>
      </c>
      <c r="C91" s="60" t="inlineStr">
        <is>
          <t>Lumière Drop Collar</t>
        </is>
      </c>
      <c r="D91" s="59" t="inlineStr">
        <is>
          <t>Type Audit · Rs 1,899 · New factory · photo 7/10</t>
        </is>
      </c>
      <c r="E91" s="58" t="inlineStr">
        <is>
          <t>Necklace</t>
        </is>
      </c>
      <c r="F91" s="9" t="n">
        <v>7</v>
      </c>
      <c r="G91" s="56">
        <f>IF(F91&gt;=9,"Hero",IF(F91&gt;=7,"Strong",IF(F91&gt;=5,"Viable",IF(F91=4,"Weak","Exclude"))))</f>
        <v/>
      </c>
      <c r="H91" s="60" t="inlineStr">
        <is>
          <t>Thin collar with a single CZ drop; minimal torque collars are a running trend. Photo: Plinth; drop is small.</t>
        </is>
      </c>
      <c r="I91" s="61" t="inlineStr"/>
    </row>
    <row r="92" ht="24" customHeight="1">
      <c r="A92" s="53" t="n">
        <v>91</v>
      </c>
      <c r="B92" s="54" t="inlineStr">
        <is>
          <t>AUD-R29 YF3558-GLD</t>
        </is>
      </c>
      <c r="C92" s="55" t="inlineStr">
        <is>
          <t>Woven Mesh Band</t>
        </is>
      </c>
      <c r="D92" s="54" t="inlineStr">
        <is>
          <t>Type Audit · Rs 1,199 · New factory · photo 7/10</t>
        </is>
      </c>
      <c r="E92" s="53" t="inlineStr">
        <is>
          <t>Ring</t>
        </is>
      </c>
      <c r="F92" s="12" t="n">
        <v>6</v>
      </c>
      <c r="G92" s="63">
        <f>IF(F92&gt;=9,"Hero",IF(F92&gt;=7,"Strong",IF(F92&gt;=5,"Viable",IF(F92=4,"Weak","Exclude"))))</f>
        <v/>
      </c>
      <c r="H92" s="55" t="inlineStr">
        <is>
          <t>Wide woven mesh band; bold band with a narrower daily-wear buyer. Photo: Mesh texture reads.</t>
        </is>
      </c>
      <c r="I92" s="57" t="inlineStr"/>
    </row>
    <row r="93" ht="24" customHeight="1">
      <c r="A93" s="58" t="n">
        <v>92</v>
      </c>
      <c r="B93" s="59" t="inlineStr">
        <is>
          <t>AUD-R30 YF3558-SLV</t>
        </is>
      </c>
      <c r="C93" s="60" t="inlineStr">
        <is>
          <t>Woven Mesh Band — Silver</t>
        </is>
      </c>
      <c r="D93" s="59" t="inlineStr">
        <is>
          <t>Type Audit · Rs 1,199 · New factory · photo 7/10</t>
        </is>
      </c>
      <c r="E93" s="58" t="inlineStr">
        <is>
          <t>Ring</t>
        </is>
      </c>
      <c r="F93" s="12" t="n">
        <v>5</v>
      </c>
      <c r="G93" s="63">
        <f>IF(F93&gt;=9,"Hero",IF(F93&gt;=7,"Strong",IF(F93&gt;=5,"Viable",IF(F93=4,"Weak","Exclude"))))</f>
        <v/>
      </c>
      <c r="H93" s="60" t="inlineStr">
        <is>
          <t>Silver mesh band; silver bold bands move slower in this band. Photo: Fine.</t>
        </is>
      </c>
      <c r="I93" s="61" t="inlineStr"/>
    </row>
    <row r="94" ht="24" customHeight="1">
      <c r="A94" s="53" t="n">
        <v>93</v>
      </c>
      <c r="B94" s="54" t="inlineStr">
        <is>
          <t>AUD-R31 YF8079-NEC</t>
        </is>
      </c>
      <c r="C94" s="55" t="inlineStr">
        <is>
          <t>Duo Link Chain</t>
        </is>
      </c>
      <c r="D94" s="54" t="inlineStr">
        <is>
          <t>Type Audit · Rs 1,899 · New factory · photo 7/10</t>
        </is>
      </c>
      <c r="E94" s="53" t="inlineStr">
        <is>
          <t>Necklace</t>
        </is>
      </c>
      <c r="F94" s="9" t="n">
        <v>8</v>
      </c>
      <c r="G94" s="56">
        <f>IF(F94&gt;=9,"Hero",IF(F94&gt;=7,"Strong",IF(F94&gt;=5,"Viable",IF(F94=4,"Weak","Exclude"))))</f>
        <v/>
      </c>
      <c r="H94" s="55" t="inlineStr">
        <is>
          <t>Two-tone paperclip chain; paperclip is a top format and two-tone widens the wardrobe fit. Photo: Fine.</t>
        </is>
      </c>
      <c r="I94" s="57" t="inlineStr"/>
    </row>
    <row r="95" ht="24" customHeight="1">
      <c r="A95" s="58" t="n">
        <v>94</v>
      </c>
      <c r="B95" s="59" t="inlineStr">
        <is>
          <t>AUD-R32 YF8079-BRA</t>
        </is>
      </c>
      <c r="C95" s="60" t="inlineStr">
        <is>
          <t>Duo Link Bracelet</t>
        </is>
      </c>
      <c r="D95" s="59" t="inlineStr">
        <is>
          <t>Type Audit · Rs 1,599 · New factory · photo 7/10</t>
        </is>
      </c>
      <c r="E95" s="58" t="inlineStr">
        <is>
          <t>Bracelet</t>
        </is>
      </c>
      <c r="F95" s="9" t="n">
        <v>8</v>
      </c>
      <c r="G95" s="56">
        <f>IF(F95&gt;=9,"Hero",IF(F95&gt;=7,"Strong",IF(F95&gt;=5,"Viable",IF(F95=4,"Weak","Exclude"))))</f>
        <v/>
      </c>
      <c r="H95" s="60" t="inlineStr">
        <is>
          <t>Two-tone paperclip bracelet; same pool as the chain. Photo: Fine.</t>
        </is>
      </c>
      <c r="I95" s="61" t="inlineStr"/>
    </row>
    <row r="96" ht="24" customHeight="1">
      <c r="A96" s="53" t="n">
        <v>95</v>
      </c>
      <c r="B96" s="54" t="inlineStr">
        <is>
          <t>AUD-R33 YF7116-GLD</t>
        </is>
      </c>
      <c r="C96" s="55" t="inlineStr">
        <is>
          <t>Petite Rivière Bracelet</t>
        </is>
      </c>
      <c r="D96" s="54" t="inlineStr">
        <is>
          <t>Type Audit · Rs 1,499 · New factory · photo 7/10</t>
        </is>
      </c>
      <c r="E96" s="53" t="inlineStr">
        <is>
          <t>Bracelet</t>
        </is>
      </c>
      <c r="F96" s="9" t="n">
        <v>8</v>
      </c>
      <c r="G96" s="56">
        <f>IF(F96&gt;=9,"Hero",IF(F96&gt;=7,"Strong",IF(F96&gt;=5,"Viable",IF(F96=4,"Weak","Exclude"))))</f>
        <v/>
      </c>
      <c r="H96" s="55" t="inlineStr">
        <is>
          <t>Thin tennis bracelet at Rs 1,499; the single most reliable bracelet format, priced right. Photo: Fine.</t>
        </is>
      </c>
      <c r="I96" s="57" t="inlineStr"/>
    </row>
    <row r="97" ht="24" customHeight="1">
      <c r="A97" s="58" t="n">
        <v>96</v>
      </c>
      <c r="B97" s="59" t="inlineStr">
        <is>
          <t>AUD-R34 YF7116-PRS</t>
        </is>
      </c>
      <c r="C97" s="60" t="inlineStr">
        <is>
          <t>Petite Rivière Bracelet — Prism</t>
        </is>
      </c>
      <c r="D97" s="59" t="inlineStr">
        <is>
          <t>Type Audit · Rs 1,599 · New factory · photo 3/10</t>
        </is>
      </c>
      <c r="E97" s="58" t="inlineStr">
        <is>
          <t>Bracelet</t>
        </is>
      </c>
      <c r="F97" s="12" t="n">
        <v>6</v>
      </c>
      <c r="G97" s="63">
        <f>IF(F97&gt;=9,"Hero",IF(F97&gt;=7,"Strong",IF(F97&gt;=5,"Viable",IF(F97=4,"Weak","Exclude"))))</f>
        <v/>
      </c>
      <c r="H97" s="60" t="inlineStr">
        <is>
          <t>Rainbow thin tennis bracelet; rainbow tennis is live but multicolour pastel narrows the buyer. Photo: Raw supplier shot with a 3mm annotation baked in; must be reshot.</t>
        </is>
      </c>
      <c r="I97" s="61" t="inlineStr">
        <is>
          <t>pastel / multicolour</t>
        </is>
      </c>
    </row>
    <row r="98" ht="24" customHeight="1">
      <c r="A98" s="53" t="n">
        <v>97</v>
      </c>
      <c r="B98" s="54" t="inlineStr">
        <is>
          <t>AUD-R35 YF7116-SLV</t>
        </is>
      </c>
      <c r="C98" s="55" t="inlineStr">
        <is>
          <t>Petite Rivière Bracelet — Silver</t>
        </is>
      </c>
      <c r="D98" s="54" t="inlineStr">
        <is>
          <t>Type Audit · Rs 1,499 · New factory · photo 7/10</t>
        </is>
      </c>
      <c r="E98" s="53" t="inlineStr">
        <is>
          <t>Bracelet</t>
        </is>
      </c>
      <c r="F98" s="9" t="n">
        <v>7</v>
      </c>
      <c r="G98" s="56">
        <f>IF(F98&gt;=9,"Hero",IF(F98&gt;=7,"Strong",IF(F98&gt;=5,"Viable",IF(F98=4,"Weak","Exclude"))))</f>
        <v/>
      </c>
      <c r="H98" s="55" t="inlineStr">
        <is>
          <t>Silver thin tennis bracelet; staple format. Photo: Plinth.</t>
        </is>
      </c>
      <c r="I98" s="57" t="inlineStr"/>
    </row>
    <row r="99" ht="24" customHeight="1">
      <c r="A99" s="58" t="n">
        <v>98</v>
      </c>
      <c r="B99" s="59" t="inlineStr">
        <is>
          <t>AUD-R36 YF3608-GLD</t>
        </is>
      </c>
      <c r="C99" s="60" t="inlineStr">
        <is>
          <t>Torsade Coil Band</t>
        </is>
      </c>
      <c r="D99" s="59" t="inlineStr">
        <is>
          <t>Type Audit · Rs 1,499 · New factory · photo 8/10</t>
        </is>
      </c>
      <c r="E99" s="58" t="inlineStr">
        <is>
          <t>Ring</t>
        </is>
      </c>
      <c r="F99" s="12" t="n">
        <v>6</v>
      </c>
      <c r="G99" s="63">
        <f>IF(F99&gt;=9,"Hero",IF(F99&gt;=7,"Strong",IF(F99&gt;=5,"Viable",IF(F99=4,"Weak","Exclude"))))</f>
        <v/>
      </c>
      <c r="H99" s="60" t="inlineStr">
        <is>
          <t>Wide ribbed flexible coil band; bold-ring buyer, narrower. Photo: Plinth; ribbing reads.</t>
        </is>
      </c>
      <c r="I99" s="61" t="inlineStr"/>
    </row>
    <row r="100" ht="24" customHeight="1">
      <c r="A100" s="53" t="n">
        <v>99</v>
      </c>
      <c r="B100" s="54" t="inlineStr">
        <is>
          <t>AUD-R37 YF3608-SLV</t>
        </is>
      </c>
      <c r="C100" s="55" t="inlineStr">
        <is>
          <t>Torsade Coil Band — Silver</t>
        </is>
      </c>
      <c r="D100" s="54" t="inlineStr">
        <is>
          <t>Type Audit · Rs 1,499 · New factory · photo 8/10</t>
        </is>
      </c>
      <c r="E100" s="53" t="inlineStr">
        <is>
          <t>Ring</t>
        </is>
      </c>
      <c r="F100" s="12" t="n">
        <v>5</v>
      </c>
      <c r="G100" s="63">
        <f>IF(F100&gt;=9,"Hero",IF(F100&gt;=7,"Strong",IF(F100&gt;=5,"Viable",IF(F100=4,"Weak","Exclude"))))</f>
        <v/>
      </c>
      <c r="H100" s="55" t="inlineStr">
        <is>
          <t>Silver coil band. Photo: Plinth.</t>
        </is>
      </c>
      <c r="I100" s="57" t="inlineStr"/>
    </row>
    <row r="101" ht="24" customHeight="1">
      <c r="A101" s="58" t="n">
        <v>100</v>
      </c>
      <c r="B101" s="59" t="inlineStr">
        <is>
          <t>AUD-R38 YF5236-GLD</t>
        </is>
      </c>
      <c r="C101" s="60" t="inlineStr">
        <is>
          <t>Station Bar Cuff</t>
        </is>
      </c>
      <c r="D101" s="59" t="inlineStr">
        <is>
          <t>Type Audit · Rs 1,999 · New factory · photo 8/10</t>
        </is>
      </c>
      <c r="E101" s="58" t="inlineStr">
        <is>
          <t>Bangle</t>
        </is>
      </c>
      <c r="F101" s="12" t="n">
        <v>6</v>
      </c>
      <c r="G101" s="63">
        <f>IF(F101&gt;=9,"Hero",IF(F101&gt;=7,"Strong",IF(F101&gt;=5,"Viable",IF(F101=4,"Weak","Exclude"))))</f>
        <v/>
      </c>
      <c r="H101" s="60" t="inlineStr">
        <is>
          <t>Bangle with a bar station; clean, reads like an ID bangle, mid demand. Photo: Plinth.</t>
        </is>
      </c>
      <c r="I101" s="61" t="inlineStr"/>
    </row>
    <row r="102" ht="24" customHeight="1">
      <c r="A102" s="53" t="n">
        <v>101</v>
      </c>
      <c r="B102" s="54" t="inlineStr">
        <is>
          <t>AUD-R39 YF5236-SLV</t>
        </is>
      </c>
      <c r="C102" s="55" t="inlineStr">
        <is>
          <t>Station Bar Cuff — Silver</t>
        </is>
      </c>
      <c r="D102" s="54" t="inlineStr">
        <is>
          <t>Type Audit · Rs 1,999 · New factory · photo 8/10</t>
        </is>
      </c>
      <c r="E102" s="53" t="inlineStr">
        <is>
          <t>Bangle</t>
        </is>
      </c>
      <c r="F102" s="12" t="n">
        <v>5</v>
      </c>
      <c r="G102" s="63">
        <f>IF(F102&gt;=9,"Hero",IF(F102&gt;=7,"Strong",IF(F102&gt;=5,"Viable",IF(F102=4,"Weak","Exclude"))))</f>
        <v/>
      </c>
      <c r="H102" s="55" t="inlineStr">
        <is>
          <t>Silver bar bangle. Photo: Plinth.</t>
        </is>
      </c>
      <c r="I102" s="57" t="inlineStr"/>
    </row>
    <row r="103" ht="24" customHeight="1">
      <c r="A103" s="58" t="n">
        <v>102</v>
      </c>
      <c r="B103" s="59" t="inlineStr">
        <is>
          <t>AUD-R40 NF-DECO-BRA-GLD</t>
        </is>
      </c>
      <c r="C103" s="60" t="inlineStr">
        <is>
          <t>Deco Link Bracelet</t>
        </is>
      </c>
      <c r="D103" s="59" t="inlineStr">
        <is>
          <t>Type Audit · Rs 1,999 · New factory · photo 8/10</t>
        </is>
      </c>
      <c r="E103" s="58" t="inlineStr">
        <is>
          <t>Bracelet</t>
        </is>
      </c>
      <c r="F103" s="9" t="n">
        <v>7</v>
      </c>
      <c r="G103" s="56">
        <f>IF(F103&gt;=9,"Hero",IF(F103&gt;=7,"Strong",IF(F103&gt;=5,"Viable",IF(F103=4,"Weak","Exclude"))))</f>
        <v/>
      </c>
      <c r="H103" s="60" t="inlineStr">
        <is>
          <t>Watch-strap link bracelet; the jubilee bracelet is a live trend and bracelets are thin in our live range. Photo: Plinth.</t>
        </is>
      </c>
      <c r="I103" s="61" t="inlineStr"/>
    </row>
    <row r="104" ht="24" customHeight="1">
      <c r="A104" s="53" t="n">
        <v>103</v>
      </c>
      <c r="B104" s="54" t="inlineStr">
        <is>
          <t>AUD-R41 NF-DECO-BRA-SLV</t>
        </is>
      </c>
      <c r="C104" s="55" t="inlineStr">
        <is>
          <t>Deco Link Bracelet — Silver</t>
        </is>
      </c>
      <c r="D104" s="54" t="inlineStr">
        <is>
          <t>Type Audit · Rs 1,999 · New factory · photo 8/10</t>
        </is>
      </c>
      <c r="E104" s="53" t="inlineStr">
        <is>
          <t>Bracelet</t>
        </is>
      </c>
      <c r="F104" s="12" t="n">
        <v>6</v>
      </c>
      <c r="G104" s="63">
        <f>IF(F104&gt;=9,"Hero",IF(F104&gt;=7,"Strong",IF(F104&gt;=5,"Viable",IF(F104=4,"Weak","Exclude"))))</f>
        <v/>
      </c>
      <c r="H104" s="55" t="inlineStr">
        <is>
          <t>Silver watch-strap bracelet. Photo: Plinth.</t>
        </is>
      </c>
      <c r="I104" s="57" t="inlineStr"/>
    </row>
    <row r="105" ht="24" customHeight="1">
      <c r="A105" s="58" t="n">
        <v>104</v>
      </c>
      <c r="B105" s="59" t="inlineStr">
        <is>
          <t>AUD-R42 NF-DECO-BRA-TWO</t>
        </is>
      </c>
      <c r="C105" s="60" t="inlineStr">
        <is>
          <t>Deco Link Bracelet — Two-tone</t>
        </is>
      </c>
      <c r="D105" s="59" t="inlineStr">
        <is>
          <t>Type Audit · Rs 2,099 · New factory · photo 4/10</t>
        </is>
      </c>
      <c r="E105" s="58" t="inlineStr">
        <is>
          <t>Bracelet</t>
        </is>
      </c>
      <c r="F105" s="12" t="n">
        <v>6</v>
      </c>
      <c r="G105" s="63">
        <f>IF(F105&gt;=9,"Hero",IF(F105&gt;=7,"Strong",IF(F105&gt;=5,"Viable",IF(F105=4,"Weak","Exclude"))))</f>
        <v/>
      </c>
      <c r="H105" s="60" t="inlineStr">
        <is>
          <t>Two-tone watch-strap bracelet; two-tone widens wardrobe fit. Photo: Raw supplier white-ground shot; reshoot.</t>
        </is>
      </c>
      <c r="I105" s="61" t="inlineStr"/>
    </row>
    <row r="106" ht="24" customHeight="1">
      <c r="A106" s="53" t="n">
        <v>105</v>
      </c>
      <c r="B106" s="54" t="inlineStr">
        <is>
          <t>AUD-R43 YF3482-GLD</t>
        </is>
      </c>
      <c r="C106" s="55" t="inlineStr">
        <is>
          <t>Woven Mesh Cuff</t>
        </is>
      </c>
      <c r="D106" s="54" t="inlineStr">
        <is>
          <t>Type Audit · Rs 1,899 · New factory · photo 8/10</t>
        </is>
      </c>
      <c r="E106" s="53" t="inlineStr">
        <is>
          <t>Bangle</t>
        </is>
      </c>
      <c r="F106" s="12" t="n">
        <v>6</v>
      </c>
      <c r="G106" s="63">
        <f>IF(F106&gt;=9,"Hero",IF(F106&gt;=7,"Strong",IF(F106&gt;=5,"Viable",IF(F106=4,"Weak","Exclude"))))</f>
        <v/>
      </c>
      <c r="H106" s="55" t="inlineStr">
        <is>
          <t>Wide mesh cuff; statement buyer. Photo: Plinth.</t>
        </is>
      </c>
      <c r="I106" s="57" t="inlineStr"/>
    </row>
    <row r="107" ht="24" customHeight="1">
      <c r="A107" s="58" t="n">
        <v>106</v>
      </c>
      <c r="B107" s="59" t="inlineStr">
        <is>
          <t>AUD-R44 YF3482-SLV</t>
        </is>
      </c>
      <c r="C107" s="60" t="inlineStr">
        <is>
          <t>Woven Mesh Cuff — Silver</t>
        </is>
      </c>
      <c r="D107" s="59" t="inlineStr">
        <is>
          <t>Type Audit · Rs 1,899 · New factory · photo 8/10</t>
        </is>
      </c>
      <c r="E107" s="58" t="inlineStr">
        <is>
          <t>Bangle</t>
        </is>
      </c>
      <c r="F107" s="12" t="n">
        <v>5</v>
      </c>
      <c r="G107" s="63">
        <f>IF(F107&gt;=9,"Hero",IF(F107&gt;=7,"Strong",IF(F107&gt;=5,"Viable",IF(F107=4,"Weak","Exclude"))))</f>
        <v/>
      </c>
      <c r="H107" s="60" t="inlineStr">
        <is>
          <t>Silver mesh cuff. Photo: Plinth.</t>
        </is>
      </c>
      <c r="I107" s="61" t="inlineStr"/>
    </row>
    <row r="108" ht="24" customHeight="1">
      <c r="A108" s="53" t="n">
        <v>107</v>
      </c>
      <c r="B108" s="54" t="inlineStr">
        <is>
          <t>AUD-R45 YF2896-CLR</t>
        </is>
      </c>
      <c r="C108" s="55" t="inlineStr">
        <is>
          <t>Princess Solitaire Studs</t>
        </is>
      </c>
      <c r="D108" s="54" t="inlineStr">
        <is>
          <t>Type Audit · Rs 1,499 · New factory · photo 6/10</t>
        </is>
      </c>
      <c r="E108" s="53" t="inlineStr">
        <is>
          <t>Earrings</t>
        </is>
      </c>
      <c r="F108" s="9" t="n">
        <v>8</v>
      </c>
      <c r="G108" s="56">
        <f>IF(F108&gt;=9,"Hero",IF(F108&gt;=7,"Strong",IF(F108&gt;=5,"Viable",IF(F108=4,"Weak","Exclude"))))</f>
        <v/>
      </c>
      <c r="H108" s="55" t="inlineStr">
        <is>
          <t>Princess-cut solitaire studs; the default gift stud in a sharper cut. Photo: Small in frame on a tall cube.</t>
        </is>
      </c>
      <c r="I108" s="57" t="inlineStr"/>
    </row>
    <row r="109" ht="24" customHeight="1">
      <c r="A109" s="58" t="n">
        <v>108</v>
      </c>
      <c r="B109" s="59" t="inlineStr">
        <is>
          <t>AUD-R46 YF2896-BLS</t>
        </is>
      </c>
      <c r="C109" s="60" t="inlineStr">
        <is>
          <t>Princess Solitaire Studs — Blush</t>
        </is>
      </c>
      <c r="D109" s="59" t="inlineStr">
        <is>
          <t>Type Audit · Rs 1,499 · New factory · photo 6/10</t>
        </is>
      </c>
      <c r="E109" s="58" t="inlineStr">
        <is>
          <t>Earrings</t>
        </is>
      </c>
      <c r="F109" s="12" t="n">
        <v>5</v>
      </c>
      <c r="G109" s="63">
        <f>IF(F109&gt;=9,"Hero",IF(F109&gt;=7,"Strong",IF(F109&gt;=5,"Viable",IF(F109=4,"Weak","Exclude"))))</f>
        <v/>
      </c>
      <c r="H109" s="60" t="inlineStr">
        <is>
          <t>Blush-pink princess studs; pastel pink narrows the buyer. Photo: Small in frame.</t>
        </is>
      </c>
      <c r="I109" s="61" t="inlineStr">
        <is>
          <t>pastel</t>
        </is>
      </c>
    </row>
    <row r="110" ht="24" customHeight="1">
      <c r="A110" s="53" t="n">
        <v>109</v>
      </c>
      <c r="B110" s="54" t="inlineStr">
        <is>
          <t>AUD-R47 YF2896-VRD</t>
        </is>
      </c>
      <c r="C110" s="55" t="inlineStr">
        <is>
          <t>Princess Solitaire Studs — Verdant</t>
        </is>
      </c>
      <c r="D110" s="54" t="inlineStr">
        <is>
          <t>Type Audit · Rs 1,499 · New factory · photo 6/10</t>
        </is>
      </c>
      <c r="E110" s="53" t="inlineStr">
        <is>
          <t>Earrings</t>
        </is>
      </c>
      <c r="F110" s="9" t="n">
        <v>7</v>
      </c>
      <c r="G110" s="56">
        <f>IF(F110&gt;=9,"Hero",IF(F110&gt;=7,"Strong",IF(F110&gt;=5,"Viable",IF(F110=4,"Weak","Exclude"))))</f>
        <v/>
      </c>
      <c r="H110" s="55" t="inlineStr">
        <is>
          <t>Green princess studs; emerald tone carries festive pull. Photo: Small in frame.</t>
        </is>
      </c>
      <c r="I110" s="57" t="inlineStr"/>
    </row>
    <row r="111" ht="24" customHeight="1">
      <c r="A111" s="58" t="n">
        <v>110</v>
      </c>
      <c r="B111" s="59" t="inlineStr">
        <is>
          <t>AUD-R48 YF9009-GLD</t>
        </is>
      </c>
      <c r="C111" s="60" t="inlineStr">
        <is>
          <t>Milgrain Station Bracelet</t>
        </is>
      </c>
      <c r="D111" s="59" t="inlineStr">
        <is>
          <t>Type Audit · Rs 2,349 · New factory · photo 7/10</t>
        </is>
      </c>
      <c r="E111" s="58" t="inlineStr">
        <is>
          <t>Bracelet</t>
        </is>
      </c>
      <c r="F111" s="12" t="n">
        <v>6</v>
      </c>
      <c r="G111" s="63">
        <f>IF(F111&gt;=9,"Hero",IF(F111&gt;=7,"Strong",IF(F111&gt;=5,"Viable",IF(F111=4,"Weak","Exclude"))))</f>
        <v/>
      </c>
      <c r="H111" s="60" t="inlineStr">
        <is>
          <t>Chunky link with bezel stations; handsome, but Rs 2,349 is the top of the bracelet range for a mid-demand design. Photo: Fine.</t>
        </is>
      </c>
      <c r="I111" s="61" t="inlineStr"/>
    </row>
    <row r="112" ht="24" customHeight="1">
      <c r="A112" s="53" t="n">
        <v>111</v>
      </c>
      <c r="B112" s="54" t="inlineStr">
        <is>
          <t>AUD-R49 YF9009-SLV</t>
        </is>
      </c>
      <c r="C112" s="55" t="inlineStr">
        <is>
          <t>Milgrain Station Bracelet — Silver</t>
        </is>
      </c>
      <c r="D112" s="54" t="inlineStr">
        <is>
          <t>Type Audit · Rs 2,349 · New factory · photo 7/10</t>
        </is>
      </c>
      <c r="E112" s="53" t="inlineStr">
        <is>
          <t>Bracelet</t>
        </is>
      </c>
      <c r="F112" s="12" t="n">
        <v>5</v>
      </c>
      <c r="G112" s="63">
        <f>IF(F112&gt;=9,"Hero",IF(F112&gt;=7,"Strong",IF(F112&gt;=5,"Viable",IF(F112=4,"Weak","Exclude"))))</f>
        <v/>
      </c>
      <c r="H112" s="55" t="inlineStr">
        <is>
          <t>Silver twin of the station bracelet. Photo: Fine.</t>
        </is>
      </c>
      <c r="I112" s="57" t="inlineStr"/>
    </row>
    <row r="113" ht="24" customHeight="1">
      <c r="A113" s="58" t="n">
        <v>112</v>
      </c>
      <c r="B113" s="59" t="inlineStr">
        <is>
          <t>AUD-R50 YF4152-GLD</t>
        </is>
      </c>
      <c r="C113" s="60" t="inlineStr">
        <is>
          <t>Ribbon Crossover Bangle</t>
        </is>
      </c>
      <c r="D113" s="59" t="inlineStr">
        <is>
          <t>Type Audit · Rs 1,699 · New factory · photo 3/10</t>
        </is>
      </c>
      <c r="E113" s="58" t="inlineStr">
        <is>
          <t>Bangle</t>
        </is>
      </c>
      <c r="F113" s="12" t="n">
        <v>6</v>
      </c>
      <c r="G113" s="63">
        <f>IF(F113&gt;=9,"Hero",IF(F113&gt;=7,"Strong",IF(F113&gt;=5,"Viable",IF(F113=4,"Weak","Exclude"))))</f>
        <v/>
      </c>
      <c r="H113" s="60" t="inlineStr">
        <is>
          <t>Two-tone crossover bangle; clean daily wear at a fair price. Photo: Raw supplier listing image with caption text baked in; must be reshot.</t>
        </is>
      </c>
      <c r="I113" s="61" t="inlineStr"/>
    </row>
    <row r="114" ht="24" customHeight="1">
      <c r="A114" s="53" t="n">
        <v>113</v>
      </c>
      <c r="B114" s="54" t="inlineStr">
        <is>
          <t>AUD-R51 YF4152-SLV</t>
        </is>
      </c>
      <c r="C114" s="55" t="inlineStr">
        <is>
          <t>Ribbon Crossover Bangle — Silver</t>
        </is>
      </c>
      <c r="D114" s="54" t="inlineStr">
        <is>
          <t>Type Audit · Rs 1,699 · New factory · photo 3/10</t>
        </is>
      </c>
      <c r="E114" s="53" t="inlineStr">
        <is>
          <t>Bangle</t>
        </is>
      </c>
      <c r="F114" s="12" t="n">
        <v>5</v>
      </c>
      <c r="G114" s="63">
        <f>IF(F114&gt;=9,"Hero",IF(F114&gt;=7,"Strong",IF(F114&gt;=5,"Viable",IF(F114=4,"Weak","Exclude"))))</f>
        <v/>
      </c>
      <c r="H114" s="55" t="inlineStr">
        <is>
          <t>Silver colourway, same bangle. Photo: Reuses row 50's raw image with caption text.</t>
        </is>
      </c>
      <c r="I114" s="57" t="inlineStr"/>
    </row>
    <row r="115" ht="24" customHeight="1">
      <c r="A115" s="58" t="n">
        <v>114</v>
      </c>
      <c r="B115" s="59" t="inlineStr">
        <is>
          <t>AUD-R52 YF3791-CUF-GLD</t>
        </is>
      </c>
      <c r="C115" s="60" t="inlineStr">
        <is>
          <t>Teardrop Terminal Cuff</t>
        </is>
      </c>
      <c r="D115" s="59" t="inlineStr">
        <is>
          <t>Type Audit · Rs 2,399 · New factory · photo 7/10</t>
        </is>
      </c>
      <c r="E115" s="58" t="inlineStr">
        <is>
          <t>Bangle</t>
        </is>
      </c>
      <c r="F115" s="12" t="n">
        <v>5</v>
      </c>
      <c r="G115" s="63">
        <f>IF(F115&gt;=9,"Hero",IF(F115&gt;=7,"Strong",IF(F115&gt;=5,"Viable",IF(F115=4,"Weak","Exclude"))))</f>
        <v/>
      </c>
      <c r="H115" s="60" t="inlineStr">
        <is>
          <t>Open cuff with teardrop terminals; simple design, and Rs 2,399 is a lot for it. Photo: Fine.</t>
        </is>
      </c>
      <c r="I115" s="61" t="inlineStr"/>
    </row>
    <row r="116" ht="24" customHeight="1">
      <c r="A116" s="53" t="n">
        <v>115</v>
      </c>
      <c r="B116" s="54" t="inlineStr">
        <is>
          <t>AUD-R53 YF3791-CUF-SLV</t>
        </is>
      </c>
      <c r="C116" s="55" t="inlineStr">
        <is>
          <t>Teardrop Terminal Cuff — Silver</t>
        </is>
      </c>
      <c r="D116" s="54" t="inlineStr">
        <is>
          <t>Type Audit · Rs 2,399 · New factory · photo 7/10</t>
        </is>
      </c>
      <c r="E116" s="53" t="inlineStr">
        <is>
          <t>Bangle</t>
        </is>
      </c>
      <c r="F116" s="15" t="n">
        <v>4</v>
      </c>
      <c r="G116" s="64">
        <f>IF(F116&gt;=9,"Hero",IF(F116&gt;=7,"Strong",IF(F116&gt;=5,"Viable",IF(F116=4,"Weak","Exclude"))))</f>
        <v/>
      </c>
      <c r="H116" s="55" t="inlineStr">
        <is>
          <t>Silver teardrop cuff; slow. Photo: Fine.</t>
        </is>
      </c>
      <c r="I116" s="57" t="inlineStr"/>
    </row>
    <row r="117" ht="24" customHeight="1">
      <c r="A117" s="58" t="n">
        <v>116</v>
      </c>
      <c r="B117" s="59" t="inlineStr">
        <is>
          <t>AUD-R54 YF3791-RNG-GLD</t>
        </is>
      </c>
      <c r="C117" s="60" t="inlineStr">
        <is>
          <t>Teardrop Terminal Ring</t>
        </is>
      </c>
      <c r="D117" s="59" t="inlineStr">
        <is>
          <t>Type Audit · Rs 1,599 · New factory · photo 7/10</t>
        </is>
      </c>
      <c r="E117" s="58" t="inlineStr">
        <is>
          <t>Ring</t>
        </is>
      </c>
      <c r="F117" s="12" t="n">
        <v>5</v>
      </c>
      <c r="G117" s="63">
        <f>IF(F117&gt;=9,"Hero",IF(F117&gt;=7,"Strong",IF(F117&gt;=5,"Viable",IF(F117=4,"Weak","Exclude"))))</f>
        <v/>
      </c>
      <c r="H117" s="60" t="inlineStr">
        <is>
          <t>Open ring with teardrop terminals; plain, mid demand. Photo: Fine.</t>
        </is>
      </c>
      <c r="I117" s="61" t="inlineStr"/>
    </row>
    <row r="118" ht="24" customHeight="1">
      <c r="A118" s="53" t="n">
        <v>117</v>
      </c>
      <c r="B118" s="54" t="inlineStr">
        <is>
          <t>AUD-R55 YF3791-RNG-SLV</t>
        </is>
      </c>
      <c r="C118" s="55" t="inlineStr">
        <is>
          <t>Teardrop Terminal Ring — Silver</t>
        </is>
      </c>
      <c r="D118" s="54" t="inlineStr">
        <is>
          <t>Type Audit · Rs 1,599 · New factory · photo 7/10</t>
        </is>
      </c>
      <c r="E118" s="53" t="inlineStr">
        <is>
          <t>Ring</t>
        </is>
      </c>
      <c r="F118" s="15" t="n">
        <v>4</v>
      </c>
      <c r="G118" s="64">
        <f>IF(F118&gt;=9,"Hero",IF(F118&gt;=7,"Strong",IF(F118&gt;=5,"Viable",IF(F118=4,"Weak","Exclude"))))</f>
        <v/>
      </c>
      <c r="H118" s="55" t="inlineStr">
        <is>
          <t>Silver teardrop ring; slow. Photo: Fine.</t>
        </is>
      </c>
      <c r="I118" s="57" t="inlineStr"/>
    </row>
    <row r="119" ht="24" customHeight="1">
      <c r="A119" s="58" t="n">
        <v>118</v>
      </c>
      <c r="B119" s="59" t="inlineStr">
        <is>
          <t>AUD-R56 YF2931-OPN</t>
        </is>
      </c>
      <c r="C119" s="60" t="inlineStr">
        <is>
          <t>Roman Openwork Band</t>
        </is>
      </c>
      <c r="D119" s="59" t="inlineStr">
        <is>
          <t>Type Audit · Rs 2,399 · New factory · photo 8/10</t>
        </is>
      </c>
      <c r="E119" s="58" t="inlineStr">
        <is>
          <t>Ring</t>
        </is>
      </c>
      <c r="F119" s="12" t="n">
        <v>5</v>
      </c>
      <c r="G119" s="63">
        <f>IF(F119&gt;=9,"Hero",IF(F119&gt;=7,"Strong",IF(F119&gt;=5,"Viable",IF(F119=4,"Weak","Exclude"))))</f>
        <v/>
      </c>
      <c r="H119" s="60" t="inlineStr">
        <is>
          <t>Roman-numeral cut-out band; sells, but reads as a Tiffany Atlas reference. Photo: Plinth.</t>
        </is>
      </c>
      <c r="I119" s="61" t="inlineStr">
        <is>
          <t>IP-adjacent (Atlas)</t>
        </is>
      </c>
    </row>
    <row r="120" ht="24" customHeight="1">
      <c r="A120" s="53" t="n">
        <v>119</v>
      </c>
      <c r="B120" s="54" t="inlineStr">
        <is>
          <t>AUD-R57 YF2931-PAV</t>
        </is>
      </c>
      <c r="C120" s="55" t="inlineStr">
        <is>
          <t>Pavé Channel Band</t>
        </is>
      </c>
      <c r="D120" s="54" t="inlineStr">
        <is>
          <t>Type Audit · Rs 2,399 · New factory · photo 8/10</t>
        </is>
      </c>
      <c r="E120" s="53" t="inlineStr">
        <is>
          <t>Ring</t>
        </is>
      </c>
      <c r="F120" s="12" t="n">
        <v>6</v>
      </c>
      <c r="G120" s="63">
        <f>IF(F120&gt;=9,"Hero",IF(F120&gt;=7,"Strong",IF(F120&gt;=5,"Viable",IF(F120=4,"Weak","Exclude"))))</f>
        <v/>
      </c>
      <c r="H120" s="55" t="inlineStr">
        <is>
          <t>Wide band with a pave channel; clean, mid demand at Rs 2,399. Photo: Plinth.</t>
        </is>
      </c>
      <c r="I120" s="57" t="inlineStr"/>
    </row>
    <row r="121" ht="24" customHeight="1">
      <c r="A121" s="58" t="n">
        <v>120</v>
      </c>
      <c r="B121" s="59" t="inlineStr">
        <is>
          <t>AUD-R58 YF2931-ROS</t>
        </is>
      </c>
      <c r="C121" s="60" t="inlineStr">
        <is>
          <t>Roman Station Band — Rose</t>
        </is>
      </c>
      <c r="D121" s="59" t="inlineStr">
        <is>
          <t>Type Audit · Rs 2,399 · New factory · photo 8/10</t>
        </is>
      </c>
      <c r="E121" s="58" t="inlineStr">
        <is>
          <t>Ring</t>
        </is>
      </c>
      <c r="F121" s="12" t="n">
        <v>5</v>
      </c>
      <c r="G121" s="63">
        <f>IF(F121&gt;=9,"Hero",IF(F121&gt;=7,"Strong",IF(F121&gt;=5,"Viable",IF(F121=4,"Weak","Exclude"))))</f>
        <v/>
      </c>
      <c r="H121" s="60" t="inlineStr">
        <is>
          <t>Rose band with Roman numerals and screw-style CZ; same reference. Photo: Plinth.</t>
        </is>
      </c>
      <c r="I121" s="61" t="inlineStr">
        <is>
          <t>IP-adjacent (Atlas / Love)</t>
        </is>
      </c>
    </row>
    <row r="122" ht="24" customHeight="1">
      <c r="A122" s="53" t="n">
        <v>121</v>
      </c>
      <c r="B122" s="54" t="inlineStr">
        <is>
          <t>AUD-R59 YF4054-RIP</t>
        </is>
      </c>
      <c r="C122" s="55" t="inlineStr">
        <is>
          <t>Molten Ripple Cuff</t>
        </is>
      </c>
      <c r="D122" s="54" t="inlineStr">
        <is>
          <t>Type Audit · Rs 2,299 · New factory · photo 3/10</t>
        </is>
      </c>
      <c r="E122" s="53" t="inlineStr">
        <is>
          <t>Bangle</t>
        </is>
      </c>
      <c r="F122" s="12" t="n">
        <v>6</v>
      </c>
      <c r="G122" s="63">
        <f>IF(F122&gt;=9,"Hero",IF(F122&gt;=7,"Strong",IF(F122&gt;=5,"Viable",IF(F122=4,"Weak","Exclude"))))</f>
        <v/>
      </c>
      <c r="H122" s="55" t="inlineStr">
        <is>
          <t>Wide hammered cuff; this appears to be the live Triple Dawn Cuff at the same Rs 2,299. Photo: Raw supplier shot with a 32mm annotation; the live listing already has a plinth shot.</t>
        </is>
      </c>
      <c r="I122" s="57" t="inlineStr">
        <is>
          <t>duplicate of live SKU</t>
        </is>
      </c>
    </row>
    <row r="123" ht="24" customHeight="1">
      <c r="A123" s="58" t="n">
        <v>122</v>
      </c>
      <c r="B123" s="59" t="inlineStr">
        <is>
          <t>AUD-R60 YF6593-GLD</t>
        </is>
      </c>
      <c r="C123" s="60" t="inlineStr">
        <is>
          <t>Éclat Star Ring</t>
        </is>
      </c>
      <c r="D123" s="59" t="inlineStr">
        <is>
          <t>Type Audit · Rs 1,299 · New factory · photo 8/10</t>
        </is>
      </c>
      <c r="E123" s="58" t="inlineStr">
        <is>
          <t>Ring</t>
        </is>
      </c>
      <c r="F123" s="12" t="n">
        <v>5</v>
      </c>
      <c r="G123" s="63">
        <f>IF(F123&gt;=9,"Hero",IF(F123&gt;=7,"Strong",IF(F123&gt;=5,"Viable",IF(F123=4,"Weak","Exclude"))))</f>
        <v/>
      </c>
      <c r="H123" s="60" t="inlineStr">
        <is>
          <t>Sparkle-star open ring; Y2K star motif, mid demand and weak repeat. Photo: Plinth.</t>
        </is>
      </c>
      <c r="I123" s="61" t="inlineStr"/>
    </row>
    <row r="124" ht="24" customHeight="1">
      <c r="A124" s="53" t="n">
        <v>123</v>
      </c>
      <c r="B124" s="54" t="inlineStr">
        <is>
          <t>AUD-R61 YF6593-SLV</t>
        </is>
      </c>
      <c r="C124" s="55" t="inlineStr">
        <is>
          <t>Éclat Star Ring — Silver</t>
        </is>
      </c>
      <c r="D124" s="54" t="inlineStr">
        <is>
          <t>Type Audit · Rs 1,299 · New factory · photo 8/10</t>
        </is>
      </c>
      <c r="E124" s="53" t="inlineStr">
        <is>
          <t>Ring</t>
        </is>
      </c>
      <c r="F124" s="15" t="n">
        <v>4</v>
      </c>
      <c r="G124" s="64">
        <f>IF(F124&gt;=9,"Hero",IF(F124&gt;=7,"Strong",IF(F124&gt;=5,"Viable",IF(F124=4,"Weak","Exclude"))))</f>
        <v/>
      </c>
      <c r="H124" s="55" t="inlineStr">
        <is>
          <t>Silver star ring. Photo: Plinth.</t>
        </is>
      </c>
      <c r="I124" s="57" t="inlineStr"/>
    </row>
    <row r="125" ht="24" customHeight="1">
      <c r="A125" s="58" t="n">
        <v>124</v>
      </c>
      <c r="B125" s="59" t="inlineStr">
        <is>
          <t>AUD-R62 YF7034-GLD</t>
        </is>
      </c>
      <c r="C125" s="60" t="inlineStr">
        <is>
          <t>Verdant Dewdrop Earrings</t>
        </is>
      </c>
      <c r="D125" s="59" t="inlineStr">
        <is>
          <t>Type Audit · Rs 1,999 · New factory · photo 5/10</t>
        </is>
      </c>
      <c r="E125" s="58" t="inlineStr">
        <is>
          <t>Earrings</t>
        </is>
      </c>
      <c r="F125" s="9" t="n">
        <v>7</v>
      </c>
      <c r="G125" s="56">
        <f>IF(F125&gt;=9,"Hero",IF(F125&gt;=7,"Strong",IF(F125&gt;=5,"Viable",IF(F125=4,"Weak","Exclude"))))</f>
        <v/>
      </c>
      <c r="H125" s="60" t="inlineStr">
        <is>
          <t>Light-green pear drops; green drops carry festive pull. Photo: Raw white-ground shot, not on the plinth.</t>
        </is>
      </c>
      <c r="I125" s="61" t="inlineStr"/>
    </row>
    <row r="126" ht="24" customHeight="1">
      <c r="A126" s="53" t="n">
        <v>125</v>
      </c>
      <c r="B126" s="54" t="inlineStr">
        <is>
          <t>AUD-R63 NF-SCAT-VRD</t>
        </is>
      </c>
      <c r="C126" s="55" t="inlineStr">
        <is>
          <t>Verdant Scatter Band</t>
        </is>
      </c>
      <c r="D126" s="54" t="inlineStr">
        <is>
          <t>Type Audit · Rs 1,799 · New factory · photo 8/10</t>
        </is>
      </c>
      <c r="E126" s="53" t="inlineStr">
        <is>
          <t>Ring</t>
        </is>
      </c>
      <c r="F126" s="9" t="n">
        <v>8</v>
      </c>
      <c r="G126" s="56">
        <f>IF(F126&gt;=9,"Hero",IF(F126&gt;=7,"Strong",IF(F126&gt;=5,"Viable",IF(F126=4,"Weak","Exclude"))))</f>
        <v/>
      </c>
      <c r="H126" s="55" t="inlineStr">
        <is>
          <t>Emerald baguette eternity band; emerald plus baguette is a strong festive ring. Photo: Plinth.</t>
        </is>
      </c>
      <c r="I126" s="57" t="inlineStr"/>
    </row>
    <row r="127" ht="24" customHeight="1">
      <c r="A127" s="58" t="n">
        <v>126</v>
      </c>
      <c r="B127" s="59" t="inlineStr">
        <is>
          <t>AUD-R64 E200570</t>
        </is>
      </c>
      <c r="C127" s="60" t="inlineStr">
        <is>
          <t>Bold Dome Huggies</t>
        </is>
      </c>
      <c r="D127" s="59" t="inlineStr">
        <is>
          <t>Type Audit · Rs 1,649 · Edition One · photo 8/10</t>
        </is>
      </c>
      <c r="E127" s="58" t="inlineStr">
        <is>
          <t>Earrings</t>
        </is>
      </c>
      <c r="F127" s="9" t="n">
        <v>8</v>
      </c>
      <c r="G127" s="56">
        <f>IF(F127&gt;=9,"Hero",IF(F127&gt;=7,"Strong",IF(F127&gt;=5,"Viable",IF(F127=4,"Weak","Exclude"))))</f>
        <v/>
      </c>
      <c r="H127" s="60" t="inlineStr">
        <is>
          <t>Plain chunky gold huggies; the deepest daily-wear pool. Photo: Plinth.</t>
        </is>
      </c>
      <c r="I127" s="61" t="inlineStr"/>
    </row>
    <row r="128" ht="24" customHeight="1">
      <c r="A128" s="53" t="n">
        <v>127</v>
      </c>
      <c r="B128" s="54" t="inlineStr">
        <is>
          <t>AUD-R65 FE03783B</t>
        </is>
      </c>
      <c r="C128" s="55" t="inlineStr">
        <is>
          <t>Quatrefoil Éclat Studs</t>
        </is>
      </c>
      <c r="D128" s="54" t="inlineStr">
        <is>
          <t>Type Audit · Rs 2,449 · Edition One · photo 8/10</t>
        </is>
      </c>
      <c r="E128" s="53" t="inlineStr">
        <is>
          <t>Earrings</t>
        </is>
      </c>
      <c r="F128" s="9" t="n">
        <v>8</v>
      </c>
      <c r="G128" s="56">
        <f>IF(F128&gt;=9,"Hero",IF(F128&gt;=7,"Strong",IF(F128&gt;=5,"Viable",IF(F128=4,"Weak","Exclude"))))</f>
        <v/>
      </c>
      <c r="H128" s="55" t="inlineStr">
        <is>
          <t>Pave quatrefoil studs; clover is the hottest motif, price is the only drag. Photo: Plinth.</t>
        </is>
      </c>
      <c r="I128" s="57" t="inlineStr"/>
    </row>
    <row r="129" ht="24" customHeight="1">
      <c r="A129" s="58" t="n">
        <v>128</v>
      </c>
      <c r="B129" s="59" t="inlineStr">
        <is>
          <t>AUD-R66 BSS00109</t>
        </is>
      </c>
      <c r="C129" s="60" t="inlineStr">
        <is>
          <t>Rivière Eternal Bracelet</t>
        </is>
      </c>
      <c r="D129" s="59" t="inlineStr">
        <is>
          <t>Type Audit · Rs 2,399 · Edition One · photo 8/10</t>
        </is>
      </c>
      <c r="E129" s="58" t="inlineStr">
        <is>
          <t>Bracelet</t>
        </is>
      </c>
      <c r="F129" s="9" t="n">
        <v>8</v>
      </c>
      <c r="G129" s="56">
        <f>IF(F129&gt;=9,"Hero",IF(F129&gt;=7,"Strong",IF(F129&gt;=5,"Viable",IF(F129=4,"Weak","Exclude"))))</f>
        <v/>
      </c>
      <c r="H129" s="60" t="inlineStr">
        <is>
          <t>Tennis bracelet; the live Riviere of Light is the same family at Rs 1,249, this is nearly double. Photo: Plinth.</t>
        </is>
      </c>
      <c r="I129" s="61" t="inlineStr">
        <is>
          <t>price vs live twin</t>
        </is>
      </c>
    </row>
    <row r="130" ht="24" customHeight="1">
      <c r="A130" s="53" t="n">
        <v>129</v>
      </c>
      <c r="B130" s="54" t="inlineStr">
        <is>
          <t>AUD-R67 E19712C</t>
        </is>
      </c>
      <c r="C130" s="55" t="inlineStr">
        <is>
          <t>Verdant Cushion Studs</t>
        </is>
      </c>
      <c r="D130" s="54" t="inlineStr">
        <is>
          <t>Type Audit · Rs 2,199 · Edition One · photo 8/10</t>
        </is>
      </c>
      <c r="E130" s="53" t="inlineStr">
        <is>
          <t>Earrings</t>
        </is>
      </c>
      <c r="F130" s="9" t="n">
        <v>8</v>
      </c>
      <c r="G130" s="56">
        <f>IF(F130&gt;=9,"Hero",IF(F130&gt;=7,"Strong",IF(F130&gt;=5,"Viable",IF(F130=4,"Weak","Exclude"))))</f>
        <v/>
      </c>
      <c r="H130" s="55" t="inlineStr">
        <is>
          <t>Emerald cushion halo studs; festive and wedding-guest gifting. Photo: Plinth.</t>
        </is>
      </c>
      <c r="I130" s="57" t="inlineStr"/>
    </row>
    <row r="131" ht="24" customHeight="1">
      <c r="A131" s="58" t="n">
        <v>130</v>
      </c>
      <c r="B131" s="59" t="inlineStr">
        <is>
          <t>AUD-R68 FE01411B</t>
        </is>
      </c>
      <c r="C131" s="60" t="inlineStr">
        <is>
          <t>Heartfold Studs</t>
        </is>
      </c>
      <c r="D131" s="59" t="inlineStr">
        <is>
          <t>Type Audit · Rs 1,449 · Edition One · photo 8/10</t>
        </is>
      </c>
      <c r="E131" s="58" t="inlineStr">
        <is>
          <t>Earrings</t>
        </is>
      </c>
      <c r="F131" s="9" t="n">
        <v>8</v>
      </c>
      <c r="G131" s="56">
        <f>IF(F131&gt;=9,"Hero",IF(F131&gt;=7,"Strong",IF(F131&gt;=5,"Viable",IF(F131=4,"Weak","Exclude"))))</f>
        <v/>
      </c>
      <c r="H131" s="60" t="inlineStr">
        <is>
          <t>Puffed heart studs; heart is Palmonas' number one motif and this is the clean version. Photo: Plinth.</t>
        </is>
      </c>
      <c r="I131" s="61" t="inlineStr"/>
    </row>
    <row r="132" ht="24" customHeight="1">
      <c r="A132" s="53" t="n">
        <v>131</v>
      </c>
      <c r="B132" s="54" t="inlineStr">
        <is>
          <t>AUD-R69 WE23818B</t>
        </is>
      </c>
      <c r="C132" s="55" t="inlineStr">
        <is>
          <t>Baguette Halo Drops</t>
        </is>
      </c>
      <c r="D132" s="54" t="inlineStr">
        <is>
          <t>Type Audit · Rs 2,599 · Edition One · photo 8/10</t>
        </is>
      </c>
      <c r="E132" s="53" t="inlineStr">
        <is>
          <t>Earrings</t>
        </is>
      </c>
      <c r="F132" s="9" t="n">
        <v>7</v>
      </c>
      <c r="G132" s="56">
        <f>IF(F132&gt;=9,"Hero",IF(F132&gt;=7,"Strong",IF(F132&gt;=5,"Viable",IF(F132=4,"Weak","Exclude"))))</f>
        <v/>
      </c>
      <c r="H132" s="55" t="inlineStr">
        <is>
          <t>Baguette halo with a pearl drop; occasion piece at Rs 2,599. Photo: Plinth.</t>
        </is>
      </c>
      <c r="I132" s="57" t="inlineStr"/>
    </row>
    <row r="133" ht="24" customHeight="1">
      <c r="A133" s="58" t="n">
        <v>132</v>
      </c>
      <c r="B133" s="59" t="inlineStr">
        <is>
          <t>AUD-R70 WE24495C</t>
        </is>
      </c>
      <c r="C133" s="60" t="inlineStr">
        <is>
          <t>Deco Ribbon Hoops</t>
        </is>
      </c>
      <c r="D133" s="59" t="inlineStr">
        <is>
          <t>Type Audit · Rs 2,449 · Edition One · photo 7/10</t>
        </is>
      </c>
      <c r="E133" s="58" t="inlineStr">
        <is>
          <t>Earrings</t>
        </is>
      </c>
      <c r="F133" s="9" t="n">
        <v>8</v>
      </c>
      <c r="G133" s="56">
        <f>IF(F133&gt;=9,"Hero",IF(F133&gt;=7,"Strong",IF(F133&gt;=5,"Viable",IF(F133=4,"Weak","Exclude"))))</f>
        <v/>
      </c>
      <c r="H133" s="60" t="inlineStr">
        <is>
          <t>Baguette C-hoops in gold; the live Baguette Arc Hoops in silver at Rs 1,899, so this is the gold twin at plus Rs 550. Photo: Plinth; small in frame.</t>
        </is>
      </c>
      <c r="I133" s="61" t="inlineStr">
        <is>
          <t>colourway of live SKU</t>
        </is>
      </c>
    </row>
    <row r="134" ht="24" customHeight="1">
      <c r="A134" s="53" t="n">
        <v>133</v>
      </c>
      <c r="B134" s="54" t="inlineStr">
        <is>
          <t>AUD-R71 E156970</t>
        </is>
      </c>
      <c r="C134" s="55" t="inlineStr">
        <is>
          <t>Torsade Huggies</t>
        </is>
      </c>
      <c r="D134" s="54" t="inlineStr">
        <is>
          <t>Type Audit · Rs 1,799 · Edition One · photo 8/10</t>
        </is>
      </c>
      <c r="E134" s="53" t="inlineStr">
        <is>
          <t>Earrings</t>
        </is>
      </c>
      <c r="F134" s="9" t="n">
        <v>8</v>
      </c>
      <c r="G134" s="56">
        <f>IF(F134&gt;=9,"Hero",IF(F134&gt;=7,"Strong",IF(F134&gt;=5,"Viable",IF(F134=4,"Weak","Exclude"))))</f>
        <v/>
      </c>
      <c r="H134" s="55" t="inlineStr">
        <is>
          <t>Twisted huggies; the same family as the live Woven Gold Hoops at Rs 1,499. Photo: Plinth.</t>
        </is>
      </c>
      <c r="I134" s="57" t="inlineStr">
        <is>
          <t>near-twin of live SKU</t>
        </is>
      </c>
    </row>
    <row r="135" ht="24" customHeight="1">
      <c r="A135" s="58" t="n">
        <v>134</v>
      </c>
      <c r="B135" s="59" t="inlineStr">
        <is>
          <t>AUD-R72 WE25240B</t>
        </is>
      </c>
      <c r="C135" s="60" t="inlineStr">
        <is>
          <t>Soleil Pearl Hoops</t>
        </is>
      </c>
      <c r="D135" s="59" t="inlineStr">
        <is>
          <t>Type Audit · Rs 2,299 · Edition One · photo 8/10</t>
        </is>
      </c>
      <c r="E135" s="58" t="inlineStr">
        <is>
          <t>Earrings</t>
        </is>
      </c>
      <c r="F135" s="9" t="n">
        <v>7</v>
      </c>
      <c r="G135" s="56">
        <f>IF(F135&gt;=9,"Hero",IF(F135&gt;=7,"Strong",IF(F135&gt;=5,"Viable",IF(F135=4,"Weak","Exclude"))))</f>
        <v/>
      </c>
      <c r="H135" s="60" t="inlineStr">
        <is>
          <t>Sunburst hoops with a pearl; distinctive, occasion-leaning. Photo: Plinth.</t>
        </is>
      </c>
      <c r="I135" s="61" t="inlineStr"/>
    </row>
    <row r="136" ht="24" customHeight="1">
      <c r="A136" s="53" t="n">
        <v>135</v>
      </c>
      <c r="B136" s="54" t="inlineStr">
        <is>
          <t>AUD-R73 WE25284B1</t>
        </is>
      </c>
      <c r="C136" s="55" t="inlineStr">
        <is>
          <t>Petite Square Huggies</t>
        </is>
      </c>
      <c r="D136" s="54" t="inlineStr">
        <is>
          <t>Type Audit · Rs 1,599 · Edition One · photo 7/10</t>
        </is>
      </c>
      <c r="E136" s="53" t="inlineStr">
        <is>
          <t>Earrings</t>
        </is>
      </c>
      <c r="F136" s="9" t="n">
        <v>7</v>
      </c>
      <c r="G136" s="56">
        <f>IF(F136&gt;=9,"Hero",IF(F136&gt;=7,"Strong",IF(F136&gt;=5,"Viable",IF(F136=4,"Weak","Exclude"))))</f>
        <v/>
      </c>
      <c r="H136" s="55" t="inlineStr">
        <is>
          <t>Small square huggies; daily wear. Photo: Plinth.</t>
        </is>
      </c>
      <c r="I136" s="57" t="inlineStr"/>
    </row>
    <row r="137" ht="24" customHeight="1">
      <c r="A137" s="58" t="n">
        <v>136</v>
      </c>
      <c r="B137" s="59" t="inlineStr">
        <is>
          <t>AUD-R74 WE19895B</t>
        </is>
      </c>
      <c r="C137" s="60" t="inlineStr">
        <is>
          <t>Lumière Teardrop Studs</t>
        </is>
      </c>
      <c r="D137" s="59" t="inlineStr">
        <is>
          <t>Type Audit · Rs 2,299 · Edition One · photo 8/10</t>
        </is>
      </c>
      <c r="E137" s="58" t="inlineStr">
        <is>
          <t>Earrings</t>
        </is>
      </c>
      <c r="F137" s="9" t="n">
        <v>7</v>
      </c>
      <c r="G137" s="56">
        <f>IF(F137&gt;=9,"Hero",IF(F137&gt;=7,"Strong",IF(F137&gt;=5,"Viable",IF(F137=4,"Weak","Exclude"))))</f>
        <v/>
      </c>
      <c r="H137" s="60" t="inlineStr">
        <is>
          <t>Pearl in a baguette teardrop halo; reads expensive. Photo: Plinth.</t>
        </is>
      </c>
      <c r="I137" s="61" t="inlineStr"/>
    </row>
    <row r="138" ht="24" customHeight="1">
      <c r="A138" s="53" t="n">
        <v>137</v>
      </c>
      <c r="B138" s="54" t="inlineStr">
        <is>
          <t>AUD-R75 WE20796C</t>
        </is>
      </c>
      <c r="C138" s="55" t="inlineStr">
        <is>
          <t>Pearl Circlet Studs</t>
        </is>
      </c>
      <c r="D138" s="54" t="inlineStr">
        <is>
          <t>Type Audit · Rs 1,899 · Edition One · photo 8/10</t>
        </is>
      </c>
      <c r="E138" s="53" t="inlineStr">
        <is>
          <t>Earrings</t>
        </is>
      </c>
      <c r="F138" s="9" t="n">
        <v>7</v>
      </c>
      <c r="G138" s="56">
        <f>IF(F138&gt;=9,"Hero",IF(F138&gt;=7,"Strong",IF(F138&gt;=5,"Viable",IF(F138=4,"Weak","Exclude"))))</f>
        <v/>
      </c>
      <c r="H138" s="55" t="inlineStr">
        <is>
          <t>Pearl in a cushion pave halo, silver; classic gift stud. Photo: Plinth.</t>
        </is>
      </c>
      <c r="I138" s="57" t="inlineStr"/>
    </row>
    <row r="139" ht="24" customHeight="1">
      <c r="A139" s="58" t="n">
        <v>138</v>
      </c>
      <c r="B139" s="59" t="inlineStr">
        <is>
          <t>AUD-R76 E17967C</t>
        </is>
      </c>
      <c r="C139" s="60" t="inlineStr">
        <is>
          <t>Petite Bow Studs</t>
        </is>
      </c>
      <c r="D139" s="59" t="inlineStr">
        <is>
          <t>Type Audit · Rs 1,399 · Edition One · photo 8/10</t>
        </is>
      </c>
      <c r="E139" s="58" t="inlineStr">
        <is>
          <t>Earrings</t>
        </is>
      </c>
      <c r="F139" s="9" t="n">
        <v>8</v>
      </c>
      <c r="G139" s="56">
        <f>IF(F139&gt;=9,"Hero",IF(F139&gt;=7,"Strong",IF(F139&gt;=5,"Viable",IF(F139=4,"Weak","Exclude"))))</f>
        <v/>
      </c>
      <c r="H139" s="60" t="inlineStr">
        <is>
          <t>Pave bow studs in silver; bow is a top-running trend at an entry price. Photo: Plinth.</t>
        </is>
      </c>
      <c r="I139" s="61" t="inlineStr"/>
    </row>
    <row r="140" ht="24" customHeight="1">
      <c r="A140" s="53" t="n">
        <v>139</v>
      </c>
      <c r="B140" s="54" t="inlineStr">
        <is>
          <t>AUD-R77 WE20580C</t>
        </is>
      </c>
      <c r="C140" s="55" t="inlineStr">
        <is>
          <t>Rivière Huggies — Silver</t>
        </is>
      </c>
      <c r="D140" s="54" t="inlineStr">
        <is>
          <t>Type Audit · Rs 1,999 · Edition One · photo 8/10</t>
        </is>
      </c>
      <c r="E140" s="53" t="inlineStr">
        <is>
          <t>Earrings</t>
        </is>
      </c>
      <c r="F140" s="9" t="n">
        <v>7</v>
      </c>
      <c r="G140" s="56">
        <f>IF(F140&gt;=9,"Hero",IF(F140&gt;=7,"Strong",IF(F140&gt;=5,"Viable",IF(F140=4,"Weak","Exclude"))))</f>
        <v/>
      </c>
      <c r="H140" s="55" t="inlineStr">
        <is>
          <t>CZ hoops in silver; daily-wear staple. Photo: Plinth.</t>
        </is>
      </c>
      <c r="I140" s="57" t="inlineStr"/>
    </row>
    <row r="141" ht="24" customHeight="1">
      <c r="A141" s="58" t="n">
        <v>140</v>
      </c>
      <c r="B141" s="59" t="inlineStr">
        <is>
          <t>AUD-R78 E15838C1</t>
        </is>
      </c>
      <c r="C141" s="60" t="inlineStr">
        <is>
          <t>Prism Cluster Studs — Silver</t>
        </is>
      </c>
      <c r="D141" s="59" t="inlineStr">
        <is>
          <t>Type Audit · Rs 2,399 · Edition One · photo 7/10</t>
        </is>
      </c>
      <c r="E141" s="58" t="inlineStr">
        <is>
          <t>Earrings</t>
        </is>
      </c>
      <c r="F141" s="15" t="n">
        <v>4</v>
      </c>
      <c r="G141" s="64">
        <f>IF(F141&gt;=9,"Hero",IF(F141&gt;=7,"Strong",IF(F141&gt;=5,"Viable",IF(F141=4,"Weak","Exclude"))))</f>
        <v/>
      </c>
      <c r="H141" s="60" t="inlineStr">
        <is>
          <t>Purple and yellow baguette climbers; purple reads young, climbers are niche. Photo: Plinth; small.</t>
        </is>
      </c>
      <c r="I141" s="61" t="inlineStr">
        <is>
          <t>pastel / purple</t>
        </is>
      </c>
    </row>
    <row r="142" ht="24" customHeight="1">
      <c r="A142" s="53" t="n">
        <v>141</v>
      </c>
      <c r="B142" s="54" t="inlineStr">
        <is>
          <t>AUD-R79 WE22108C3</t>
        </is>
      </c>
      <c r="C142" s="55" t="inlineStr">
        <is>
          <t>Aqua Heart Drops — Silver</t>
        </is>
      </c>
      <c r="D142" s="54" t="inlineStr">
        <is>
          <t>Type Audit · Rs 2,549 · Edition One · photo 8/10</t>
        </is>
      </c>
      <c r="E142" s="53" t="inlineStr">
        <is>
          <t>Earrings</t>
        </is>
      </c>
      <c r="F142" s="12" t="n">
        <v>5</v>
      </c>
      <c r="G142" s="63">
        <f>IF(F142&gt;=9,"Hero",IF(F142&gt;=7,"Strong",IF(F142&gt;=5,"Viable",IF(F142=4,"Weak","Exclude"))))</f>
        <v/>
      </c>
      <c r="H142" s="55" t="inlineStr">
        <is>
          <t>CZ hoops with aqua heart drops; blue stones read young. Photo: Plinth.</t>
        </is>
      </c>
      <c r="I142" s="57" t="inlineStr">
        <is>
          <t>pastel / blue</t>
        </is>
      </c>
    </row>
    <row r="143" ht="24" customHeight="1">
      <c r="A143" s="58" t="n">
        <v>142</v>
      </c>
      <c r="B143" s="59" t="inlineStr">
        <is>
          <t>AUD-R80 BSS00066</t>
        </is>
      </c>
      <c r="C143" s="60" t="inlineStr">
        <is>
          <t>Torsade Pearl Cuff</t>
        </is>
      </c>
      <c r="D143" s="59" t="inlineStr">
        <is>
          <t>Type Audit · Rs 2,299 · Edition One · photo 8/10</t>
        </is>
      </c>
      <c r="E143" s="58" t="inlineStr">
        <is>
          <t>Bracelet</t>
        </is>
      </c>
      <c r="F143" s="9" t="n">
        <v>7</v>
      </c>
      <c r="G143" s="56">
        <f>IF(F143&gt;=9,"Hero",IF(F143&gt;=7,"Strong",IF(F143&gt;=5,"Viable",IF(F143=4,"Weak","Exclude"))))</f>
        <v/>
      </c>
      <c r="H143" s="60" t="inlineStr">
        <is>
          <t>Twisted cable cuff with pearl ends; reads as the cable-cuff look, sells. Photo: Plinth.</t>
        </is>
      </c>
      <c r="I143" s="61" t="inlineStr">
        <is>
          <t>IP-adjacent (cable cuff)</t>
        </is>
      </c>
    </row>
    <row r="144" ht="24" customHeight="1">
      <c r="A144" s="53" t="n">
        <v>143</v>
      </c>
      <c r="B144" s="54" t="inlineStr">
        <is>
          <t>AUD-R81 BSS00158</t>
        </is>
      </c>
      <c r="C144" s="55" t="inlineStr">
        <is>
          <t>Pear Station Bangle</t>
        </is>
      </c>
      <c r="D144" s="54" t="inlineStr">
        <is>
          <t>Type Audit · Rs 1,899 · Edition One · photo 8/10</t>
        </is>
      </c>
      <c r="E144" s="53" t="inlineStr">
        <is>
          <t>Bracelet</t>
        </is>
      </c>
      <c r="F144" s="9" t="n">
        <v>7</v>
      </c>
      <c r="G144" s="56">
        <f>IF(F144&gt;=9,"Hero",IF(F144&gt;=7,"Strong",IF(F144&gt;=5,"Viable",IF(F144=4,"Weak","Exclude"))))</f>
        <v/>
      </c>
      <c r="H144" s="55" t="inlineStr">
        <is>
          <t>Thin bangle with pear CZ stations; delicate, stackable. Photo: Plinth.</t>
        </is>
      </c>
      <c r="I144" s="57" t="inlineStr"/>
    </row>
    <row r="145" ht="24" customHeight="1">
      <c r="A145" s="58" t="n">
        <v>144</v>
      </c>
      <c r="B145" s="59" t="inlineStr">
        <is>
          <t>AUD-R82 BSS00028</t>
        </is>
      </c>
      <c r="C145" s="60" t="inlineStr">
        <is>
          <t>Molten Panel Bracelet</t>
        </is>
      </c>
      <c r="D145" s="59" t="inlineStr">
        <is>
          <t>Type Audit · Rs 2,199 · Edition One · photo 8/10</t>
        </is>
      </c>
      <c r="E145" s="58" t="inlineStr">
        <is>
          <t>Bracelet</t>
        </is>
      </c>
      <c r="F145" s="12" t="n">
        <v>6</v>
      </c>
      <c r="G145" s="63">
        <f>IF(F145&gt;=9,"Hero",IF(F145&gt;=7,"Strong",IF(F145&gt;=5,"Viable",IF(F145=4,"Weak","Exclude"))))</f>
        <v/>
      </c>
      <c r="H145" s="60" t="inlineStr">
        <is>
          <t>Flat mesh panel bracelet; clean, mid demand. Photo: Plinth.</t>
        </is>
      </c>
      <c r="I145" s="61" t="inlineStr"/>
    </row>
    <row r="146" ht="24" customHeight="1">
      <c r="A146" s="53" t="n">
        <v>145</v>
      </c>
      <c r="B146" s="54" t="inlineStr">
        <is>
          <t>AUD-R83 WR20900B</t>
        </is>
      </c>
      <c r="C146" s="55" t="inlineStr">
        <is>
          <t>Nacre Triple Wrap</t>
        </is>
      </c>
      <c r="D146" s="54" t="inlineStr">
        <is>
          <t>Type Audit · Rs 1,999 · Edition One · photo 8/10</t>
        </is>
      </c>
      <c r="E146" s="53" t="inlineStr">
        <is>
          <t>Ring</t>
        </is>
      </c>
      <c r="F146" s="9" t="n">
        <v>7</v>
      </c>
      <c r="G146" s="56">
        <f>IF(F146&gt;=9,"Hero",IF(F146&gt;=7,"Strong",IF(F146&gt;=5,"Viable",IF(F146=4,"Weak","Exclude"))))</f>
        <v/>
      </c>
      <c r="H146" s="55" t="inlineStr">
        <is>
          <t>Triple band with mother-of-pearl and baguettes; MOP reads expensive and is a live neutral. Photo: Plinth.</t>
        </is>
      </c>
      <c r="I146" s="57" t="inlineStr"/>
    </row>
    <row r="147" ht="24" customHeight="1">
      <c r="A147" s="58" t="n">
        <v>146</v>
      </c>
      <c r="B147" s="59" t="inlineStr">
        <is>
          <t>AUD-R84 H989B</t>
        </is>
      </c>
      <c r="C147" s="60" t="inlineStr">
        <is>
          <t>Pearl Crossover Ring</t>
        </is>
      </c>
      <c r="D147" s="59" t="inlineStr">
        <is>
          <t>Type Audit · Rs 1,449 · Edition One · photo 8/10</t>
        </is>
      </c>
      <c r="E147" s="58" t="inlineStr">
        <is>
          <t>Ring</t>
        </is>
      </c>
      <c r="F147" s="9" t="n">
        <v>7</v>
      </c>
      <c r="G147" s="56">
        <f>IF(F147&gt;=9,"Hero",IF(F147&gt;=7,"Strong",IF(F147&gt;=5,"Viable",IF(F147=4,"Weak","Exclude"))))</f>
        <v/>
      </c>
      <c r="H147" s="60" t="inlineStr">
        <is>
          <t>Bypass ring with a pearl; simple, giftable. Photo: Plinth.</t>
        </is>
      </c>
      <c r="I147" s="61" t="inlineStr"/>
    </row>
    <row r="148" ht="24" customHeight="1">
      <c r="A148" s="53" t="n">
        <v>147</v>
      </c>
      <c r="B148" s="54" t="inlineStr">
        <is>
          <t>AUD-R85 WR11674B2</t>
        </is>
      </c>
      <c r="C148" s="55" t="inlineStr">
        <is>
          <t>Lilac Papillon Ring</t>
        </is>
      </c>
      <c r="D148" s="54" t="inlineStr">
        <is>
          <t>Type Audit · Rs 1,899 · Edition One · photo 8/10</t>
        </is>
      </c>
      <c r="E148" s="53" t="inlineStr">
        <is>
          <t>Ring</t>
        </is>
      </c>
      <c r="F148" s="18" t="n">
        <v>3</v>
      </c>
      <c r="G148" s="65">
        <f>IF(F148&gt;=9,"Hero",IF(F148&gt;=7,"Strong",IF(F148&gt;=5,"Viable",IF(F148=4,"Weak","Exclude"))))</f>
        <v/>
      </c>
      <c r="H148" s="55" t="inlineStr">
        <is>
          <t>Purple pave butterfly ring; young motif in a young colour. Photo: Plinth; well shot for what it is.</t>
        </is>
      </c>
      <c r="I148" s="57" t="inlineStr">
        <is>
          <t>young motif / purple</t>
        </is>
      </c>
    </row>
  </sheetData>
  <autoFilter ref="A1:I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8" customWidth="1" min="4" max="4"/>
    <col width="40" customWidth="1" min="5" max="5"/>
  </cols>
  <sheetData>
    <row r="1">
      <c r="A1" s="66" t="inlineStr">
        <is>
          <t>RECOMMENDED SHORTLIST</t>
        </is>
      </c>
    </row>
    <row r="2" ht="34" customHeight="1">
      <c r="A2" s="67" t="inlineStr">
        <is>
          <t>The launch buy-list: every Hero/Strong SKU (7+) grouped by what it does for the range. Pull a balanced 12–15 across daily-wear staples / trend studs / festive occasion.</t>
        </is>
      </c>
    </row>
    <row r="4" ht="20" customHeight="1">
      <c r="A4" s="68" t="inlineStr">
        <is>
          <t>DAILY-WEAR STAPLES · hoops, huggies, chains, paperclip</t>
        </is>
      </c>
    </row>
    <row r="5">
      <c r="A5" s="69" t="inlineStr">
        <is>
          <t>Model</t>
        </is>
      </c>
      <c r="B5" s="69" t="inlineStr">
        <is>
          <t>Product</t>
        </is>
      </c>
      <c r="C5" s="69" t="inlineStr">
        <is>
          <t>Material</t>
        </is>
      </c>
      <c r="D5" s="70" t="inlineStr">
        <is>
          <t>Rt</t>
        </is>
      </c>
      <c r="E5" s="69" t="inlineStr">
        <is>
          <t>Why it earns a slot</t>
        </is>
      </c>
    </row>
    <row r="6" ht="26" customHeight="1">
      <c r="A6" s="71" t="inlineStr">
        <is>
          <t>LIVE-00</t>
        </is>
      </c>
      <c r="B6" s="60" t="inlineStr">
        <is>
          <t>Dewdrop Bezel Necklace</t>
        </is>
      </c>
      <c r="C6" s="72" t="inlineStr">
        <is>
          <t>Live · Rs 999 · out of stock · photo 6/10</t>
        </is>
      </c>
      <c r="D6" s="73" t="n">
        <v>7</v>
      </c>
      <c r="E6" s="72" t="inlineStr">
        <is>
          <t>Bezel solitaire pendant on a fine chain is evergreen daily wear and a safe gift. Photo: Piece reads tiny against the cube; needs a closer crop.</t>
        </is>
      </c>
    </row>
    <row r="7" ht="26" customHeight="1">
      <c r="A7" s="71" t="inlineStr">
        <is>
          <t>LIVE-05</t>
        </is>
      </c>
      <c r="B7" s="60" t="inlineStr">
        <is>
          <t>Serpentine Whisper Chain — Silver</t>
        </is>
      </c>
      <c r="C7" s="72" t="inlineStr">
        <is>
          <t>Live · Rs 1,499 · in stock · photo 7/10</t>
        </is>
      </c>
      <c r="D7" s="73" t="n">
        <v>7</v>
      </c>
      <c r="E7" s="72" t="inlineStr">
        <is>
          <t>Snake chain with a princess solitaire; snake chain is a running trend, silver widens the buyer. Photo: Silver on cream loses contrast.</t>
        </is>
      </c>
    </row>
    <row r="8" ht="26" customHeight="1">
      <c r="A8" s="71" t="inlineStr">
        <is>
          <t>LIVE-06</t>
        </is>
      </c>
      <c r="B8" s="60" t="inlineStr">
        <is>
          <t>Bold Nocturne Bracelet</t>
        </is>
      </c>
      <c r="C8" s="72" t="inlineStr">
        <is>
          <t>Live · Rs 1,599 · in stock · photo 8/10</t>
        </is>
      </c>
      <c r="D8" s="73" t="n">
        <v>8</v>
      </c>
      <c r="E8" s="72" t="inlineStr">
        <is>
          <t>Chunky paperclip bracelet; chain and link pieces are 17 percent of Palmonas' own bestseller list. Photo: Wrist shot gives scale.</t>
        </is>
      </c>
    </row>
    <row r="9" ht="26" customHeight="1">
      <c r="A9" s="71" t="inlineStr">
        <is>
          <t>LIVE-07</t>
        </is>
      </c>
      <c r="B9" s="60" t="inlineStr">
        <is>
          <t>Bold Nocturne Chain</t>
        </is>
      </c>
      <c r="C9" s="72" t="inlineStr">
        <is>
          <t>Live · Rs 1,799 · in stock · photo 8/10</t>
        </is>
      </c>
      <c r="D9" s="73" t="n">
        <v>8</v>
      </c>
      <c r="E9" s="72" t="inlineStr">
        <is>
          <t>Chunky paperclip chain; same bottomless daily-wear pool as the bracelet. Photo: Neck shot, reads well.</t>
        </is>
      </c>
    </row>
    <row r="10" ht="26" customHeight="1">
      <c r="A10" s="71" t="inlineStr">
        <is>
          <t>LIVE-38</t>
        </is>
      </c>
      <c r="B10" s="60" t="inlineStr">
        <is>
          <t>Trio Oval Drop Earrings</t>
        </is>
      </c>
      <c r="C10" s="72" t="inlineStr">
        <is>
          <t>Live · Rs 1,499 · in stock · photo 6/10</t>
        </is>
      </c>
      <c r="D10" s="73" t="n">
        <v>7</v>
      </c>
      <c r="E10" s="72" t="inlineStr">
        <is>
          <t>Baguette oval-link drop in two-tone; deco link, grown-up. Photo: Cropped so tight it does not read as an earring.</t>
        </is>
      </c>
    </row>
    <row r="11" ht="26" customHeight="1">
      <c r="A11" s="71" t="inlineStr">
        <is>
          <t>LIVE-39</t>
        </is>
      </c>
      <c r="B11" s="60" t="inlineStr">
        <is>
          <t>Brushed Gold Huggies</t>
        </is>
      </c>
      <c r="C11" s="72" t="inlineStr">
        <is>
          <t>Live · Rs 1,099 · in stock · photo 7/10</t>
        </is>
      </c>
      <c r="D11" s="73" t="n">
        <v>8</v>
      </c>
      <c r="E11" s="72" t="inlineStr">
        <is>
          <t>Brushed chunky dome huggies; the deepest, most stable daily-wear pool. Photo: Fine; brushed finish reads.</t>
        </is>
      </c>
    </row>
    <row r="12" ht="26" customHeight="1">
      <c r="A12" s="71" t="inlineStr">
        <is>
          <t>LIVE-43</t>
        </is>
      </c>
      <c r="B12" s="60" t="inlineStr">
        <is>
          <t>Baguette Arc Hoops</t>
        </is>
      </c>
      <c r="C12" s="72" t="inlineStr">
        <is>
          <t>Live · Rs 1,899 · in stock · photo 7/10</t>
        </is>
      </c>
      <c r="D12" s="73" t="n">
        <v>8</v>
      </c>
      <c r="E12" s="72" t="inlineStr">
        <is>
          <t>Baguette C-hoops in silver; baguette hoop is a strong everyday format. Photo: Fine.</t>
        </is>
      </c>
    </row>
    <row r="13" ht="26" customHeight="1">
      <c r="A13" s="71" t="inlineStr">
        <is>
          <t>LIVE-46</t>
        </is>
      </c>
      <c r="B13" s="60" t="inlineStr">
        <is>
          <t>Woven Gold Hoops</t>
        </is>
      </c>
      <c r="C13" s="72" t="inlineStr">
        <is>
          <t>Live · Rs 1,499 · in stock · photo 9/10</t>
        </is>
      </c>
      <c r="D13" s="73" t="n">
        <v>8</v>
      </c>
      <c r="E13" s="72" t="inlineStr">
        <is>
          <t>Braided chunky huggies; twisted hoops are bottomless demand. Photo: Wet-burgundy hero, excellent.</t>
        </is>
      </c>
    </row>
    <row r="14" ht="26" customHeight="1">
      <c r="A14" s="71" t="inlineStr">
        <is>
          <t>LIVE-48</t>
        </is>
      </c>
      <c r="B14" s="60" t="inlineStr">
        <is>
          <t>Molten Bloom Hoops</t>
        </is>
      </c>
      <c r="C14" s="72" t="inlineStr">
        <is>
          <t>Live · Rs 1,300 · out of stock · photo 8/10</t>
        </is>
      </c>
      <c r="D14" s="73" t="n">
        <v>7</v>
      </c>
      <c r="E14" s="72" t="inlineStr">
        <is>
          <t>Molten irregular huggies; the molten trend at an entry price. Photo: Surface reads.</t>
        </is>
      </c>
    </row>
    <row r="15" ht="26" customHeight="1">
      <c r="A15" s="71" t="inlineStr">
        <is>
          <t>LIVE-50</t>
        </is>
      </c>
      <c r="B15" s="60" t="inlineStr">
        <is>
          <t>Toggle Link Chain</t>
        </is>
      </c>
      <c r="C15" s="72" t="inlineStr">
        <is>
          <t>Live · Rs 1,499 · in stock · photo 8/10</t>
        </is>
      </c>
      <c r="D15" s="73" t="n">
        <v>8</v>
      </c>
      <c r="E15" s="72" t="inlineStr">
        <is>
          <t>Paperclip chain with a toggle ring; daily-wear chain, worn shot sells it. Photo: Neck shot, good.</t>
        </is>
      </c>
    </row>
    <row r="16" ht="26" customHeight="1">
      <c r="A16" s="71" t="inlineStr">
        <is>
          <t>LIVE-52</t>
        </is>
      </c>
      <c r="B16" s="60" t="inlineStr">
        <is>
          <t>Serpentine Whisper Chain</t>
        </is>
      </c>
      <c r="C16" s="72" t="inlineStr">
        <is>
          <t>Live · Rs 1,849 · out of stock · photo 7/10</t>
        </is>
      </c>
      <c r="D16" s="73" t="n">
        <v>7</v>
      </c>
      <c r="E16" s="72" t="inlineStr">
        <is>
          <t>Gold snake chain with a square solitaire; solid. Photo: Fine.</t>
        </is>
      </c>
    </row>
    <row r="17" ht="26" customHeight="1">
      <c r="A17" s="71" t="inlineStr">
        <is>
          <t>LIVE-53</t>
        </is>
      </c>
      <c r="B17" s="60" t="inlineStr">
        <is>
          <t>Heartline Paperclip Necklace</t>
        </is>
      </c>
      <c r="C17" s="72" t="inlineStr">
        <is>
          <t>Live · Rs 1,899 · in stock · photo 7/10</t>
        </is>
      </c>
      <c r="D17" s="73" t="n">
        <v>7</v>
      </c>
      <c r="E17" s="72" t="inlineStr">
        <is>
          <t>Half paperclip, half pave hearts; hearts are their top motif, paperclip is a top format. Photo: Fine.</t>
        </is>
      </c>
    </row>
    <row r="18" ht="26" customHeight="1">
      <c r="A18" s="71" t="inlineStr">
        <is>
          <t>AUD-R13 YF2604-LNK</t>
        </is>
      </c>
      <c r="B18" s="60" t="inlineStr">
        <is>
          <t>Pavé Link Ring</t>
        </is>
      </c>
      <c r="C18" s="72" t="inlineStr">
        <is>
          <t>Type Audit · Rs 2,599 · New factory · photo 8/10</t>
        </is>
      </c>
      <c r="D18" s="73" t="n">
        <v>7</v>
      </c>
      <c r="E18" s="72" t="inlineStr">
        <is>
          <t>Pave paperclip-link ring; paperclip is a top format, price is high for a ring. Photo: Plinth.</t>
        </is>
      </c>
    </row>
    <row r="19" ht="26" customHeight="1">
      <c r="A19" s="71" t="inlineStr">
        <is>
          <t>AUD-R31 YF8079-NEC</t>
        </is>
      </c>
      <c r="B19" s="60" t="inlineStr">
        <is>
          <t>Duo Link Chain</t>
        </is>
      </c>
      <c r="C19" s="72" t="inlineStr">
        <is>
          <t>Type Audit · Rs 1,899 · New factory · photo 7/10</t>
        </is>
      </c>
      <c r="D19" s="73" t="n">
        <v>8</v>
      </c>
      <c r="E19" s="72" t="inlineStr">
        <is>
          <t>Two-tone paperclip chain; paperclip is a top format and two-tone widens the wardrobe fit. Photo: Fine.</t>
        </is>
      </c>
    </row>
    <row r="20" ht="26" customHeight="1">
      <c r="A20" s="71" t="inlineStr">
        <is>
          <t>AUD-R32 YF8079-BRA</t>
        </is>
      </c>
      <c r="B20" s="60" t="inlineStr">
        <is>
          <t>Duo Link Bracelet</t>
        </is>
      </c>
      <c r="C20" s="72" t="inlineStr">
        <is>
          <t>Type Audit · Rs 1,599 · New factory · photo 7/10</t>
        </is>
      </c>
      <c r="D20" s="73" t="n">
        <v>8</v>
      </c>
      <c r="E20" s="72" t="inlineStr">
        <is>
          <t>Two-tone paperclip bracelet; same pool as the chain. Photo: Fine.</t>
        </is>
      </c>
    </row>
    <row r="21" ht="26" customHeight="1">
      <c r="A21" s="71" t="inlineStr">
        <is>
          <t>AUD-R40 NF-DECO-BRA-GLD</t>
        </is>
      </c>
      <c r="B21" s="60" t="inlineStr">
        <is>
          <t>Deco Link Bracelet</t>
        </is>
      </c>
      <c r="C21" s="72" t="inlineStr">
        <is>
          <t>Type Audit · Rs 1,999 · New factory · photo 8/10</t>
        </is>
      </c>
      <c r="D21" s="73" t="n">
        <v>7</v>
      </c>
      <c r="E21" s="72" t="inlineStr">
        <is>
          <t>Watch-strap link bracelet; the jubilee bracelet is a live trend and bracelets are thin in our live range. Photo: Plinth.</t>
        </is>
      </c>
    </row>
    <row r="22" ht="26" customHeight="1">
      <c r="A22" s="71" t="inlineStr">
        <is>
          <t>AUD-R64 E200570</t>
        </is>
      </c>
      <c r="B22" s="60" t="inlineStr">
        <is>
          <t>Bold Dome Huggies</t>
        </is>
      </c>
      <c r="C22" s="72" t="inlineStr">
        <is>
          <t>Type Audit · Rs 1,649 · Edition One · photo 8/10</t>
        </is>
      </c>
      <c r="D22" s="73" t="n">
        <v>8</v>
      </c>
      <c r="E22" s="72" t="inlineStr">
        <is>
          <t>Plain chunky gold huggies; the deepest daily-wear pool. Photo: Plinth.</t>
        </is>
      </c>
    </row>
    <row r="23" ht="26" customHeight="1">
      <c r="A23" s="71" t="inlineStr">
        <is>
          <t>AUD-R70 WE24495C</t>
        </is>
      </c>
      <c r="B23" s="60" t="inlineStr">
        <is>
          <t>Deco Ribbon Hoops</t>
        </is>
      </c>
      <c r="C23" s="72" t="inlineStr">
        <is>
          <t>Type Audit · Rs 2,449 · Edition One · photo 7/10</t>
        </is>
      </c>
      <c r="D23" s="73" t="n">
        <v>8</v>
      </c>
      <c r="E23" s="72" t="inlineStr">
        <is>
          <t>Baguette C-hoops in gold; the live Baguette Arc Hoops in silver at Rs 1,899, so this is the gold twin at plus Rs 550. Photo: Plinth; small in frame.</t>
        </is>
      </c>
    </row>
    <row r="24" ht="26" customHeight="1">
      <c r="A24" s="71" t="inlineStr">
        <is>
          <t>AUD-R71 E156970</t>
        </is>
      </c>
      <c r="B24" s="60" t="inlineStr">
        <is>
          <t>Torsade Huggies</t>
        </is>
      </c>
      <c r="C24" s="72" t="inlineStr">
        <is>
          <t>Type Audit · Rs 1,799 · Edition One · photo 8/10</t>
        </is>
      </c>
      <c r="D24" s="73" t="n">
        <v>8</v>
      </c>
      <c r="E24" s="72" t="inlineStr">
        <is>
          <t>Twisted huggies; the same family as the live Woven Gold Hoops at Rs 1,499. Photo: Plinth.</t>
        </is>
      </c>
    </row>
    <row r="25" ht="26" customHeight="1">
      <c r="A25" s="71" t="inlineStr">
        <is>
          <t>AUD-R73 WE25284B1</t>
        </is>
      </c>
      <c r="B25" s="60" t="inlineStr">
        <is>
          <t>Petite Square Huggies</t>
        </is>
      </c>
      <c r="C25" s="72" t="inlineStr">
        <is>
          <t>Type Audit · Rs 1,599 · Edition One · photo 7/10</t>
        </is>
      </c>
      <c r="D25" s="73" t="n">
        <v>7</v>
      </c>
      <c r="E25" s="72" t="inlineStr">
        <is>
          <t>Small square huggies; daily wear. Photo: Plinth.</t>
        </is>
      </c>
    </row>
    <row r="26" ht="26" customHeight="1">
      <c r="A26" s="71" t="inlineStr">
        <is>
          <t>AUD-R77 WE20580C</t>
        </is>
      </c>
      <c r="B26" s="60" t="inlineStr">
        <is>
          <t>Rivière Huggies — Silver</t>
        </is>
      </c>
      <c r="C26" s="72" t="inlineStr">
        <is>
          <t>Type Audit · Rs 1,999 · Edition One · photo 8/10</t>
        </is>
      </c>
      <c r="D26" s="73" t="n">
        <v>7</v>
      </c>
      <c r="E26" s="72" t="inlineStr">
        <is>
          <t>CZ hoops in silver; daily-wear staple. Photo: Plinth.</t>
        </is>
      </c>
    </row>
    <row r="28" ht="20" customHeight="1">
      <c r="A28" s="68" t="inlineStr">
        <is>
          <t>TENNIS AND BAGUETTE · the occasion engine</t>
        </is>
      </c>
    </row>
    <row r="29">
      <c r="A29" s="69" t="inlineStr">
        <is>
          <t>Model</t>
        </is>
      </c>
      <c r="B29" s="69" t="inlineStr">
        <is>
          <t>Product</t>
        </is>
      </c>
      <c r="C29" s="69" t="inlineStr">
        <is>
          <t>Material</t>
        </is>
      </c>
      <c r="D29" s="70" t="inlineStr">
        <is>
          <t>Rt</t>
        </is>
      </c>
      <c r="E29" s="69" t="inlineStr">
        <is>
          <t>Why it earns a slot</t>
        </is>
      </c>
    </row>
    <row r="30" ht="26" customHeight="1">
      <c r="A30" s="71" t="inlineStr">
        <is>
          <t>LIVE-03</t>
        </is>
      </c>
      <c r="B30" s="60" t="inlineStr">
        <is>
          <t>Lumière Oval Necklace</t>
        </is>
      </c>
      <c r="C30" s="72" t="inlineStr">
        <is>
          <t>Live · Rs 1,499 · out of stock · photo 7/10</t>
        </is>
      </c>
      <c r="D30" s="73" t="n">
        <v>8</v>
      </c>
      <c r="E30" s="72" t="inlineStr">
        <is>
          <t>Tennis riviere necklace is a gifting and occasion staple with deep repeat demand. Photo: Model shot but the stones blur into a line; add a macro.</t>
        </is>
      </c>
    </row>
    <row r="31" ht="26" customHeight="1">
      <c r="A31" s="71" t="inlineStr">
        <is>
          <t>LIVE-04</t>
        </is>
      </c>
      <c r="B31" s="60" t="inlineStr">
        <is>
          <t>Lumière Oval Bracelet</t>
        </is>
      </c>
      <c r="C31" s="72" t="inlineStr">
        <is>
          <t>Live · Rs 1,099 · out of stock · photo 8/10</t>
        </is>
      </c>
      <c r="D31" s="73" t="n">
        <v>8</v>
      </c>
      <c r="E31" s="72" t="inlineStr">
        <is>
          <t>Oval-cut tennis bracelet; the single most reliable bracelet format in the band. Photo: Angle shows the cut well.</t>
        </is>
      </c>
    </row>
    <row r="32" ht="26" customHeight="1">
      <c r="A32" s="71" t="inlineStr">
        <is>
          <t>LIVE-13</t>
        </is>
      </c>
      <c r="B32" s="60" t="inlineStr">
        <is>
          <t>Rivière of Light Bracelet</t>
        </is>
      </c>
      <c r="C32" s="72" t="inlineStr">
        <is>
          <t>Live · Rs 1,249 · out of stock · photo 7/10</t>
        </is>
      </c>
      <c r="D32" s="73" t="n">
        <v>8</v>
      </c>
      <c r="E32" s="72" t="inlineStr">
        <is>
          <t>Round-CZ tennis bracelet; staple format, entry price. Photo: Reads as a thin line; a macro of the setting would sell it.</t>
        </is>
      </c>
    </row>
    <row r="33" ht="26" customHeight="1">
      <c r="A33" s="71" t="inlineStr">
        <is>
          <t>LIVE-18</t>
        </is>
      </c>
      <c r="B33" s="60" t="inlineStr">
        <is>
          <t>Baguette Éclat Bracelet</t>
        </is>
      </c>
      <c r="C33" s="72" t="inlineStr">
        <is>
          <t>Live · Rs 1,800 · out of stock · photo 8/10</t>
        </is>
      </c>
      <c r="D33" s="73" t="n">
        <v>8</v>
      </c>
      <c r="E33" s="72" t="inlineStr">
        <is>
          <t>Baguette tennis bracelet; deco, grown-up, photographs well and gifts well. Photo: Burgundy roll is a strong prop.</t>
        </is>
      </c>
    </row>
    <row r="34" ht="26" customHeight="1">
      <c r="A34" s="71" t="inlineStr">
        <is>
          <t>LIVE-29</t>
        </is>
      </c>
      <c r="B34" s="60" t="inlineStr">
        <is>
          <t>Pearl Ribbon Ring</t>
        </is>
      </c>
      <c r="C34" s="72" t="inlineStr">
        <is>
          <t>Live · Rs 1,099 · in stock · photo 8/10</t>
        </is>
      </c>
      <c r="D34" s="74" t="n">
        <v>9</v>
      </c>
      <c r="E34" s="72" t="inlineStr">
        <is>
          <t>Bow with a pearl and baguette loops; bow plus pearl is the trend of the year at an entry price. Photo: Sharp; bow reads.</t>
        </is>
      </c>
    </row>
    <row r="35" ht="26" customHeight="1">
      <c r="A35" s="71" t="inlineStr">
        <is>
          <t>LIVE-45</t>
        </is>
      </c>
      <c r="B35" s="60" t="inlineStr">
        <is>
          <t>Ribbon Bow Earrings</t>
        </is>
      </c>
      <c r="C35" s="72" t="inlineStr">
        <is>
          <t>Live · Rs 1,599 · in stock · photo 8/10</t>
        </is>
      </c>
      <c r="D35" s="74" t="n">
        <v>9</v>
      </c>
      <c r="E35" s="72" t="inlineStr">
        <is>
          <t>Baguette bow studs; bow is a top-running trend and this is the clean version of it. Photo: Sharp; bow reads.</t>
        </is>
      </c>
    </row>
    <row r="36" ht="26" customHeight="1">
      <c r="A36" s="71" t="inlineStr">
        <is>
          <t>LIVE-54</t>
        </is>
      </c>
      <c r="B36" s="60" t="inlineStr">
        <is>
          <t>Rivière Eternal Necklace</t>
        </is>
      </c>
      <c r="C36" s="72" t="inlineStr">
        <is>
          <t>Live · Rs 1,799 · out of stock · photo 7/10</t>
        </is>
      </c>
      <c r="D36" s="73" t="n">
        <v>8</v>
      </c>
      <c r="E36" s="72" t="inlineStr">
        <is>
          <t>Gold tennis necklace; occasion staple. Photo: Stones blur; needs a macro.</t>
        </is>
      </c>
    </row>
    <row r="37" ht="26" customHeight="1">
      <c r="A37" s="71" t="inlineStr">
        <is>
          <t>AUD-R03 YF3165-NEC</t>
        </is>
      </c>
      <c r="B37" s="60" t="inlineStr">
        <is>
          <t>Baguette Rivière Choker</t>
        </is>
      </c>
      <c r="C37" s="72" t="inlineStr">
        <is>
          <t>Type Audit · Rs 2,749 · New factory · photo 8/10</t>
        </is>
      </c>
      <c r="D37" s="73" t="n">
        <v>8</v>
      </c>
      <c r="E37" s="72" t="inlineStr">
        <is>
          <t>Baguette tennis choker; deco, occasion-ready, photographs beautifully. Photo: Plinth; stones crisp.</t>
        </is>
      </c>
    </row>
    <row r="38" ht="26" customHeight="1">
      <c r="A38" s="71" t="inlineStr">
        <is>
          <t>AUD-R05 YF3165-NEC-RBY</t>
        </is>
      </c>
      <c r="B38" s="60" t="inlineStr">
        <is>
          <t>Baguette Rivière Choker — Ruby</t>
        </is>
      </c>
      <c r="C38" s="72" t="inlineStr">
        <is>
          <t>Type Audit · Rs 2,749 · New factory · photo 8/10</t>
        </is>
      </c>
      <c r="D38" s="73" t="n">
        <v>7</v>
      </c>
      <c r="E38" s="72" t="inlineStr">
        <is>
          <t>Ruby colourway; red reads festive and bridal-adjacent, strong India pull. Photo: Model shot, the best of the row.</t>
        </is>
      </c>
    </row>
    <row r="39" ht="26" customHeight="1">
      <c r="A39" s="71" t="inlineStr">
        <is>
          <t>AUD-R06 YF3165-NEC-VRD</t>
        </is>
      </c>
      <c r="B39" s="60" t="inlineStr">
        <is>
          <t>Baguette Rivière Choker — Verdant</t>
        </is>
      </c>
      <c r="C39" s="72" t="inlineStr">
        <is>
          <t>Type Audit · Rs 2,749 · New factory · photo 8/10</t>
        </is>
      </c>
      <c r="D39" s="73" t="n">
        <v>8</v>
      </c>
      <c r="E39" s="72" t="inlineStr">
        <is>
          <t>Emerald colourway; green sells out 56 percent at Palmonas, above their average. Photo: Plinth; colour reads.</t>
        </is>
      </c>
    </row>
    <row r="40" ht="26" customHeight="1">
      <c r="A40" s="71" t="inlineStr">
        <is>
          <t>AUD-R07 YF3165-BRA</t>
        </is>
      </c>
      <c r="B40" s="60" t="inlineStr">
        <is>
          <t>Baguette Rivière Bracelet</t>
        </is>
      </c>
      <c r="C40" s="72" t="inlineStr">
        <is>
          <t>Type Audit · Rs 1,899 · New factory · photo 8/10</t>
        </is>
      </c>
      <c r="D40" s="73" t="n">
        <v>8</v>
      </c>
      <c r="E40" s="72" t="inlineStr">
        <is>
          <t>Baguette tennis bracelet; the bracelet staple in its grown-up cut. Photo: Plinth.</t>
        </is>
      </c>
    </row>
    <row r="41" ht="26" customHeight="1">
      <c r="A41" s="71" t="inlineStr">
        <is>
          <t>AUD-R09 YF3165-BRA-RBY</t>
        </is>
      </c>
      <c r="B41" s="60" t="inlineStr">
        <is>
          <t>Baguette Rivière Bracelet — Ruby</t>
        </is>
      </c>
      <c r="C41" s="72" t="inlineStr">
        <is>
          <t>Type Audit · Rs 1,899 · New factory · photo 8/10</t>
        </is>
      </c>
      <c r="D41" s="73" t="n">
        <v>7</v>
      </c>
      <c r="E41" s="72" t="inlineStr">
        <is>
          <t>Ruby bracelet; festive pull. Photo: Plinth.</t>
        </is>
      </c>
    </row>
    <row r="42" ht="26" customHeight="1">
      <c r="A42" s="71" t="inlineStr">
        <is>
          <t>AUD-R10 YF3165-BRA-VRD</t>
        </is>
      </c>
      <c r="B42" s="60" t="inlineStr">
        <is>
          <t>Baguette Rivière Bracelet — Verdant</t>
        </is>
      </c>
      <c r="C42" s="72" t="inlineStr">
        <is>
          <t>Type Audit · Rs 1,899 · New factory · photo 8/10</t>
        </is>
      </c>
      <c r="D42" s="73" t="n">
        <v>8</v>
      </c>
      <c r="E42" s="72" t="inlineStr">
        <is>
          <t>Emerald bracelet; the strongest colourway of the four. Photo: Model shot.</t>
        </is>
      </c>
    </row>
    <row r="43" ht="26" customHeight="1">
      <c r="A43" s="71" t="inlineStr">
        <is>
          <t>AUD-R11 YF2604-ETY</t>
        </is>
      </c>
      <c r="B43" s="60" t="inlineStr">
        <is>
          <t>Baguette Eternity Band</t>
        </is>
      </c>
      <c r="C43" s="72" t="inlineStr">
        <is>
          <t>Type Audit · Rs 2,599 · New factory · photo 8/10</t>
        </is>
      </c>
      <c r="D43" s="73" t="n">
        <v>7</v>
      </c>
      <c r="E43" s="72" t="inlineStr">
        <is>
          <t>Full baguette eternity band; sound, but Rs 2,599 is the top of the ring range. Photo: Plinth.</t>
        </is>
      </c>
    </row>
    <row r="44" ht="26" customHeight="1">
      <c r="A44" s="71" t="inlineStr">
        <is>
          <t>AUD-R26 YF3508-GLD</t>
        </is>
      </c>
      <c r="B44" s="60" t="inlineStr">
        <is>
          <t>Marquise Rivière Bangle</t>
        </is>
      </c>
      <c r="C44" s="72" t="inlineStr">
        <is>
          <t>Type Audit · Rs 2,299 · New factory · photo 7/10</t>
        </is>
      </c>
      <c r="D44" s="73" t="n">
        <v>7</v>
      </c>
      <c r="E44" s="72" t="inlineStr">
        <is>
          <t>Full marquise CZ tennis bangle; occasion staple, and bangles are under-served in our live range. Photo: Plinth, fine.</t>
        </is>
      </c>
    </row>
    <row r="45" ht="26" customHeight="1">
      <c r="A45" s="71" t="inlineStr">
        <is>
          <t>AUD-R33 YF7116-GLD</t>
        </is>
      </c>
      <c r="B45" s="60" t="inlineStr">
        <is>
          <t>Petite Rivière Bracelet</t>
        </is>
      </c>
      <c r="C45" s="72" t="inlineStr">
        <is>
          <t>Type Audit · Rs 1,499 · New factory · photo 7/10</t>
        </is>
      </c>
      <c r="D45" s="73" t="n">
        <v>8</v>
      </c>
      <c r="E45" s="72" t="inlineStr">
        <is>
          <t>Thin tennis bracelet at Rs 1,499; the single most reliable bracelet format, priced right. Photo: Fine.</t>
        </is>
      </c>
    </row>
    <row r="46" ht="26" customHeight="1">
      <c r="A46" s="71" t="inlineStr">
        <is>
          <t>AUD-R35 YF7116-SLV</t>
        </is>
      </c>
      <c r="B46" s="60" t="inlineStr">
        <is>
          <t>Petite Rivière Bracelet — Silver</t>
        </is>
      </c>
      <c r="C46" s="72" t="inlineStr">
        <is>
          <t>Type Audit · Rs 1,499 · New factory · photo 7/10</t>
        </is>
      </c>
      <c r="D46" s="73" t="n">
        <v>7</v>
      </c>
      <c r="E46" s="72" t="inlineStr">
        <is>
          <t>Silver thin tennis bracelet; staple format. Photo: Plinth.</t>
        </is>
      </c>
    </row>
    <row r="47" ht="26" customHeight="1">
      <c r="A47" s="71" t="inlineStr">
        <is>
          <t>AUD-R63 NF-SCAT-VRD</t>
        </is>
      </c>
      <c r="B47" s="60" t="inlineStr">
        <is>
          <t>Verdant Scatter Band</t>
        </is>
      </c>
      <c r="C47" s="72" t="inlineStr">
        <is>
          <t>Type Audit · Rs 1,799 · New factory · photo 8/10</t>
        </is>
      </c>
      <c r="D47" s="73" t="n">
        <v>8</v>
      </c>
      <c r="E47" s="72" t="inlineStr">
        <is>
          <t>Emerald baguette eternity band; emerald plus baguette is a strong festive ring. Photo: Plinth.</t>
        </is>
      </c>
    </row>
    <row r="48" ht="26" customHeight="1">
      <c r="A48" s="71" t="inlineStr">
        <is>
          <t>AUD-R66 BSS00109</t>
        </is>
      </c>
      <c r="B48" s="60" t="inlineStr">
        <is>
          <t>Rivière Eternal Bracelet</t>
        </is>
      </c>
      <c r="C48" s="72" t="inlineStr">
        <is>
          <t>Type Audit · Rs 2,399 · Edition One · photo 8/10</t>
        </is>
      </c>
      <c r="D48" s="73" t="n">
        <v>8</v>
      </c>
      <c r="E48" s="72" t="inlineStr">
        <is>
          <t>Tennis bracelet; the live Riviere of Light is the same family at Rs 1,249, this is nearly double. Photo: Plinth.</t>
        </is>
      </c>
    </row>
    <row r="49" ht="26" customHeight="1">
      <c r="A49" s="71" t="inlineStr">
        <is>
          <t>AUD-R69 WE23818B</t>
        </is>
      </c>
      <c r="B49" s="60" t="inlineStr">
        <is>
          <t>Baguette Halo Drops</t>
        </is>
      </c>
      <c r="C49" s="72" t="inlineStr">
        <is>
          <t>Type Audit · Rs 2,599 · Edition One · photo 8/10</t>
        </is>
      </c>
      <c r="D49" s="73" t="n">
        <v>7</v>
      </c>
      <c r="E49" s="72" t="inlineStr">
        <is>
          <t>Baguette halo with a pearl drop; occasion piece at Rs 2,599. Photo: Plinth.</t>
        </is>
      </c>
    </row>
    <row r="50" ht="26" customHeight="1">
      <c r="A50" s="71" t="inlineStr">
        <is>
          <t>AUD-R74 WE19895B</t>
        </is>
      </c>
      <c r="B50" s="60" t="inlineStr">
        <is>
          <t>Lumière Teardrop Studs</t>
        </is>
      </c>
      <c r="C50" s="72" t="inlineStr">
        <is>
          <t>Type Audit · Rs 2,299 · Edition One · photo 8/10</t>
        </is>
      </c>
      <c r="D50" s="73" t="n">
        <v>7</v>
      </c>
      <c r="E50" s="72" t="inlineStr">
        <is>
          <t>Pearl in a baguette teardrop halo; reads expensive. Photo: Plinth.</t>
        </is>
      </c>
    </row>
    <row r="51" ht="26" customHeight="1">
      <c r="A51" s="71" t="inlineStr">
        <is>
          <t>AUD-R83 WR20900B</t>
        </is>
      </c>
      <c r="B51" s="60" t="inlineStr">
        <is>
          <t>Nacre Triple Wrap</t>
        </is>
      </c>
      <c r="C51" s="72" t="inlineStr">
        <is>
          <t>Type Audit · Rs 1,999 · Edition One · photo 8/10</t>
        </is>
      </c>
      <c r="D51" s="73" t="n">
        <v>7</v>
      </c>
      <c r="E51" s="72" t="inlineStr">
        <is>
          <t>Triple band with mother-of-pearl and baguettes; MOP reads expensive and is a live neutral. Photo: Plinth.</t>
        </is>
      </c>
    </row>
    <row r="53" ht="20" customHeight="1">
      <c r="A53" s="68" t="inlineStr">
        <is>
          <t>PEARL · baroque, station, huggie</t>
        </is>
      </c>
    </row>
    <row r="54">
      <c r="A54" s="69" t="inlineStr">
        <is>
          <t>Model</t>
        </is>
      </c>
      <c r="B54" s="69" t="inlineStr">
        <is>
          <t>Product</t>
        </is>
      </c>
      <c r="C54" s="69" t="inlineStr">
        <is>
          <t>Material</t>
        </is>
      </c>
      <c r="D54" s="70" t="inlineStr">
        <is>
          <t>Rt</t>
        </is>
      </c>
      <c r="E54" s="69" t="inlineStr">
        <is>
          <t>Why it earns a slot</t>
        </is>
      </c>
    </row>
    <row r="55" ht="26" customHeight="1">
      <c r="A55" s="71" t="inlineStr">
        <is>
          <t>LIVE-01</t>
        </is>
      </c>
      <c r="B55" s="60" t="inlineStr">
        <is>
          <t>Pearl Legacy Necklace</t>
        </is>
      </c>
      <c r="C55" s="72" t="inlineStr">
        <is>
          <t>Live · Rs 1,799 · in stock · photo 8/10</t>
        </is>
      </c>
      <c r="D55" s="73" t="n">
        <v>8</v>
      </c>
      <c r="E55" s="72" t="inlineStr">
        <is>
          <t>Baroque pearl choker with a toggle is a live trend and pearl is a top-three motif in the band. Photo: Model shot carries it; scale and drape both read.</t>
        </is>
      </c>
    </row>
    <row r="56" ht="26" customHeight="1">
      <c r="A56" s="71" t="inlineStr">
        <is>
          <t>LIVE-02</t>
        </is>
      </c>
      <c r="B56" s="60" t="inlineStr">
        <is>
          <t>Baroque Shell Bracelet</t>
        </is>
      </c>
      <c r="C56" s="72" t="inlineStr">
        <is>
          <t>Live · Rs 1,799 · in stock · photo 8/10</t>
        </is>
      </c>
      <c r="D56" s="73" t="n">
        <v>7</v>
      </c>
      <c r="E56" s="72" t="inlineStr">
        <is>
          <t>Baroque pearl toggle bracelet; pearl pulls broadly, the toggle adds the 'considered' look. Photo: Clean plinth shot, texture of the pearls reads.</t>
        </is>
      </c>
    </row>
    <row r="57" ht="26" customHeight="1">
      <c r="A57" s="71" t="inlineStr">
        <is>
          <t>LIVE-08</t>
        </is>
      </c>
      <c r="B57" s="60" t="inlineStr">
        <is>
          <t>Petite Pearl Chain</t>
        </is>
      </c>
      <c r="C57" s="72" t="inlineStr">
        <is>
          <t>Live · Rs 1,299 · out of stock · photo 7/10</t>
        </is>
      </c>
      <c r="D57" s="73" t="n">
        <v>8</v>
      </c>
      <c r="E57" s="72" t="inlineStr">
        <is>
          <t>Pearl station necklace; Palmonas launched one this week, the motif is live now. Photo: Dainty piece on a big cube; pearls small in frame.</t>
        </is>
      </c>
    </row>
    <row r="58" ht="26" customHeight="1">
      <c r="A58" s="71" t="inlineStr">
        <is>
          <t>LIVE-17</t>
        </is>
      </c>
      <c r="B58" s="60" t="inlineStr">
        <is>
          <t>Pearl Reverie Bracelet</t>
        </is>
      </c>
      <c r="C58" s="72" t="inlineStr">
        <is>
          <t>Live · Rs 899 · out of stock · photo 7/10</t>
        </is>
      </c>
      <c r="D58" s="73" t="n">
        <v>7</v>
      </c>
      <c r="E58" s="72" t="inlineStr">
        <is>
          <t>Paperclip chain with pearls and an open circle; two live motifs at an entry price. Photo: Clean.</t>
        </is>
      </c>
    </row>
    <row r="59" ht="26" customHeight="1">
      <c r="A59" s="71" t="inlineStr">
        <is>
          <t>LIVE-24</t>
        </is>
      </c>
      <c r="B59" s="60" t="inlineStr">
        <is>
          <t>Verdant Circlet Studs</t>
        </is>
      </c>
      <c r="C59" s="72" t="inlineStr">
        <is>
          <t>Live · Rs 1,499 · in stock · photo 8/10</t>
        </is>
      </c>
      <c r="D59" s="73" t="n">
        <v>8</v>
      </c>
      <c r="E59" s="72" t="inlineStr">
        <is>
          <t>Emerald cushion with pearl and CZ cluster; emerald plus pearl is a festive and wedding-guest winner. Photo: Colour and cluster both read.</t>
        </is>
      </c>
    </row>
    <row r="60" ht="26" customHeight="1">
      <c r="A60" s="71" t="inlineStr">
        <is>
          <t>LIVE-36</t>
        </is>
      </c>
      <c r="B60" s="60" t="inlineStr">
        <is>
          <t>Baroque Bloom Cuff</t>
        </is>
      </c>
      <c r="C60" s="72" t="inlineStr">
        <is>
          <t>Live · Rs 1,499 · out of stock · photo 8/10</t>
        </is>
      </c>
      <c r="D60" s="73" t="n">
        <v>7</v>
      </c>
      <c r="E60" s="72" t="inlineStr">
        <is>
          <t>Open cuff with a baroque pearl and a CZ; pearl cuff reads expensive. Photo: Green velvet, strong.</t>
        </is>
      </c>
    </row>
    <row r="61" ht="26" customHeight="1">
      <c r="A61" s="71" t="inlineStr">
        <is>
          <t>LIVE-37</t>
        </is>
      </c>
      <c r="B61" s="60" t="inlineStr">
        <is>
          <t>Pearl Point Studs</t>
        </is>
      </c>
      <c r="C61" s="72" t="inlineStr">
        <is>
          <t>Live · Rs 1,499 · in stock · photo 7/10</t>
        </is>
      </c>
      <c r="D61" s="73" t="n">
        <v>8</v>
      </c>
      <c r="E61" s="72" t="inlineStr">
        <is>
          <t>Pearl in a rope-twist huggie; pearl huggie is daily-wear core. Photo: Small; the twist detail is lost.</t>
        </is>
      </c>
    </row>
    <row r="62" ht="26" customHeight="1">
      <c r="A62" s="71" t="inlineStr">
        <is>
          <t>LIVE-40</t>
        </is>
      </c>
      <c r="B62" s="60" t="inlineStr">
        <is>
          <t>Pearl Drop Studs</t>
        </is>
      </c>
      <c r="C62" s="72" t="inlineStr">
        <is>
          <t>Live · Rs 1,199 · in stock · photo 8/10</t>
        </is>
      </c>
      <c r="D62" s="73" t="n">
        <v>7</v>
      </c>
      <c r="E62" s="72" t="inlineStr">
        <is>
          <t>Pearl and gold-ball drop; classic, safe gift. Photo: Ear shot, good.</t>
        </is>
      </c>
    </row>
    <row r="63" ht="26" customHeight="1">
      <c r="A63" s="71" t="inlineStr">
        <is>
          <t>LIVE-42</t>
        </is>
      </c>
      <c r="B63" s="60" t="inlineStr">
        <is>
          <t>Filigree Bloom Studs</t>
        </is>
      </c>
      <c r="C63" s="72" t="inlineStr">
        <is>
          <t>Live · Rs 1,499 · in stock · photo 8/10</t>
        </is>
      </c>
      <c r="D63" s="73" t="n">
        <v>7</v>
      </c>
      <c r="E63" s="72" t="inlineStr">
        <is>
          <t>Wire flower with a pearl centre; floral plus pearl, distinctive without being loud. Photo: Sharp.</t>
        </is>
      </c>
    </row>
    <row r="64" ht="26" customHeight="1">
      <c r="A64" s="71" t="inlineStr">
        <is>
          <t>LIVE-49</t>
        </is>
      </c>
      <c r="B64" s="60" t="inlineStr">
        <is>
          <t>Baroque Pearl Lariat</t>
        </is>
      </c>
      <c r="C64" s="72" t="inlineStr">
        <is>
          <t>Live · Rs 1,599 · in stock · photo 7/10</t>
        </is>
      </c>
      <c r="D64" s="73" t="n">
        <v>7</v>
      </c>
      <c r="E64" s="72" t="inlineStr">
        <is>
          <t>Open-circle lariat with a baroque pearl drop; layering piece with a pearl. Photo: Fine.</t>
        </is>
      </c>
    </row>
    <row r="65" ht="26" customHeight="1">
      <c r="A65" s="71" t="inlineStr">
        <is>
          <t>AUD-R72 WE25240B</t>
        </is>
      </c>
      <c r="B65" s="60" t="inlineStr">
        <is>
          <t>Soleil Pearl Hoops</t>
        </is>
      </c>
      <c r="C65" s="72" t="inlineStr">
        <is>
          <t>Type Audit · Rs 2,299 · Edition One · photo 8/10</t>
        </is>
      </c>
      <c r="D65" s="73" t="n">
        <v>7</v>
      </c>
      <c r="E65" s="72" t="inlineStr">
        <is>
          <t>Sunburst hoops with a pearl; distinctive, occasion-leaning. Photo: Plinth.</t>
        </is>
      </c>
    </row>
    <row r="66" ht="26" customHeight="1">
      <c r="A66" s="71" t="inlineStr">
        <is>
          <t>AUD-R75 WE20796C</t>
        </is>
      </c>
      <c r="B66" s="60" t="inlineStr">
        <is>
          <t>Pearl Circlet Studs</t>
        </is>
      </c>
      <c r="C66" s="72" t="inlineStr">
        <is>
          <t>Type Audit · Rs 1,899 · Edition One · photo 8/10</t>
        </is>
      </c>
      <c r="D66" s="73" t="n">
        <v>7</v>
      </c>
      <c r="E66" s="72" t="inlineStr">
        <is>
          <t>Pearl in a cushion pave halo, silver; classic gift stud. Photo: Plinth.</t>
        </is>
      </c>
    </row>
    <row r="67" ht="26" customHeight="1">
      <c r="A67" s="71" t="inlineStr">
        <is>
          <t>AUD-R80 BSS00066</t>
        </is>
      </c>
      <c r="B67" s="60" t="inlineStr">
        <is>
          <t>Torsade Pearl Cuff</t>
        </is>
      </c>
      <c r="C67" s="72" t="inlineStr">
        <is>
          <t>Type Audit · Rs 2,299 · Edition One · photo 8/10</t>
        </is>
      </c>
      <c r="D67" s="73" t="n">
        <v>7</v>
      </c>
      <c r="E67" s="72" t="inlineStr">
        <is>
          <t>Twisted cable cuff with pearl ends; reads as the cable-cuff look, sells. Photo: Plinth.</t>
        </is>
      </c>
    </row>
    <row r="68" ht="26" customHeight="1">
      <c r="A68" s="71" t="inlineStr">
        <is>
          <t>AUD-R84 H989B</t>
        </is>
      </c>
      <c r="B68" s="60" t="inlineStr">
        <is>
          <t>Pearl Crossover Ring</t>
        </is>
      </c>
      <c r="C68" s="72" t="inlineStr">
        <is>
          <t>Type Audit · Rs 1,449 · Edition One · photo 8/10</t>
        </is>
      </c>
      <c r="D68" s="73" t="n">
        <v>7</v>
      </c>
      <c r="E68" s="72" t="inlineStr">
        <is>
          <t>Bypass ring with a pearl; simple, giftable. Photo: Plinth.</t>
        </is>
      </c>
    </row>
    <row r="70" ht="20" customHeight="1">
      <c r="A70" s="68" t="inlineStr">
        <is>
          <t>TREND MOTIFS · clover, bow</t>
        </is>
      </c>
    </row>
    <row r="71">
      <c r="A71" s="69" t="inlineStr">
        <is>
          <t>Model</t>
        </is>
      </c>
      <c r="B71" s="69" t="inlineStr">
        <is>
          <t>Product</t>
        </is>
      </c>
      <c r="C71" s="69" t="inlineStr">
        <is>
          <t>Material</t>
        </is>
      </c>
      <c r="D71" s="70" t="inlineStr">
        <is>
          <t>Rt</t>
        </is>
      </c>
      <c r="E71" s="69" t="inlineStr">
        <is>
          <t>Why it earns a slot</t>
        </is>
      </c>
    </row>
    <row r="72" ht="26" customHeight="1">
      <c r="A72" s="71" t="inlineStr">
        <is>
          <t>LIVE-10</t>
        </is>
      </c>
      <c r="B72" s="60" t="inlineStr">
        <is>
          <t>Clover Charm Necklace</t>
        </is>
      </c>
      <c r="C72" s="72" t="inlineStr">
        <is>
          <t>Live · Rs 1,299 · out of stock · photo 7/10</t>
        </is>
      </c>
      <c r="D72" s="74" t="n">
        <v>9</v>
      </c>
      <c r="E72" s="72" t="inlineStr">
        <is>
          <t>Four-leaf clover pendant is the single hottest demi-fine motif right now; entry price helps. Photo: Clover small at this crop; deserves a hero.</t>
        </is>
      </c>
    </row>
    <row r="73" ht="26" customHeight="1">
      <c r="A73" s="71" t="inlineStr">
        <is>
          <t>LIVE-15</t>
        </is>
      </c>
      <c r="B73" s="60" t="inlineStr">
        <is>
          <t>Pearl Blossom Earrings</t>
        </is>
      </c>
      <c r="C73" s="72" t="inlineStr">
        <is>
          <t>Live · Rs 1,499 · in stock · photo 7/10</t>
        </is>
      </c>
      <c r="D73" s="73" t="n">
        <v>8</v>
      </c>
      <c r="E73" s="72" t="inlineStr">
        <is>
          <t>Bow over a pearl in a pave circle; bow plus pearl is a top-running combination. Photo: Silver on cream is soft; fine.</t>
        </is>
      </c>
    </row>
    <row r="74" ht="26" customHeight="1">
      <c r="A74" s="71" t="inlineStr">
        <is>
          <t>LIVE-47</t>
        </is>
      </c>
      <c r="B74" s="60" t="inlineStr">
        <is>
          <t>Clover Trio Edit</t>
        </is>
      </c>
      <c r="C74" s="72" t="inlineStr">
        <is>
          <t>Live · Rs 1,999 · in stock · photo 6/10</t>
        </is>
      </c>
      <c r="D74" s="73" t="n">
        <v>8</v>
      </c>
      <c r="E74" s="72" t="inlineStr">
        <is>
          <t>Three-pair clover edit at Rs 1,999; the hottest motif, bundled. Photo: Three pairs fight for the frame; shoot the clover studs alone as the hero.</t>
        </is>
      </c>
    </row>
    <row r="75" ht="26" customHeight="1">
      <c r="A75" s="71" t="inlineStr">
        <is>
          <t>AUD-R65 FE03783B</t>
        </is>
      </c>
      <c r="B75" s="60" t="inlineStr">
        <is>
          <t>Quatrefoil Éclat Studs</t>
        </is>
      </c>
      <c r="C75" s="72" t="inlineStr">
        <is>
          <t>Type Audit · Rs 2,449 · Edition One · photo 8/10</t>
        </is>
      </c>
      <c r="D75" s="73" t="n">
        <v>8</v>
      </c>
      <c r="E75" s="72" t="inlineStr">
        <is>
          <t>Pave quatrefoil studs; clover is the hottest motif, price is the only drag. Photo: Plinth.</t>
        </is>
      </c>
    </row>
    <row r="76" ht="26" customHeight="1">
      <c r="A76" s="71" t="inlineStr">
        <is>
          <t>AUD-R76 E17967C</t>
        </is>
      </c>
      <c r="B76" s="60" t="inlineStr">
        <is>
          <t>Petite Bow Studs</t>
        </is>
      </c>
      <c r="C76" s="72" t="inlineStr">
        <is>
          <t>Type Audit · Rs 1,399 · Edition One · photo 8/10</t>
        </is>
      </c>
      <c r="D76" s="73" t="n">
        <v>8</v>
      </c>
      <c r="E76" s="72" t="inlineStr">
        <is>
          <t>Pave bow studs in silver; bow is a top-running trend at an entry price. Photo: Plinth.</t>
        </is>
      </c>
    </row>
    <row r="78" ht="20" customHeight="1">
      <c r="A78" s="68" t="inlineStr">
        <is>
          <t>EMERALD AND GREEN · festive pull</t>
        </is>
      </c>
    </row>
    <row r="79">
      <c r="A79" s="69" t="inlineStr">
        <is>
          <t>Model</t>
        </is>
      </c>
      <c r="B79" s="69" t="inlineStr">
        <is>
          <t>Product</t>
        </is>
      </c>
      <c r="C79" s="69" t="inlineStr">
        <is>
          <t>Material</t>
        </is>
      </c>
      <c r="D79" s="70" t="inlineStr">
        <is>
          <t>Rt</t>
        </is>
      </c>
      <c r="E79" s="69" t="inlineStr">
        <is>
          <t>Why it earns a slot</t>
        </is>
      </c>
    </row>
    <row r="80" ht="26" customHeight="1">
      <c r="A80" s="71" t="inlineStr">
        <is>
          <t>LIVE-11</t>
        </is>
      </c>
      <c r="B80" s="60" t="inlineStr">
        <is>
          <t>Verdant Drop Earrings</t>
        </is>
      </c>
      <c r="C80" s="72" t="inlineStr">
        <is>
          <t>Live · Rs 1,459 · in stock · photo 6/10</t>
        </is>
      </c>
      <c r="D80" s="73" t="n">
        <v>7</v>
      </c>
      <c r="E80" s="72" t="inlineStr">
        <is>
          <t>Green cushion drops; emerald tone has strong festive India pull, silver setting narrows it slightly. Photo: Piece is a speck on the cube.</t>
        </is>
      </c>
    </row>
    <row r="81" ht="26" customHeight="1">
      <c r="A81" s="71" t="inlineStr">
        <is>
          <t>LIVE-21</t>
        </is>
      </c>
      <c r="B81" s="60" t="inlineStr">
        <is>
          <t>Whisper Pavé Band</t>
        </is>
      </c>
      <c r="C81" s="72" t="inlineStr">
        <is>
          <t>Live · Rs 899 · in stock · photo 8/10</t>
        </is>
      </c>
      <c r="D81" s="73" t="n">
        <v>8</v>
      </c>
      <c r="E81" s="72" t="inlineStr">
        <is>
          <t>Cushion halo solitaire with a pave shank; halo solitaire is evergreen gifting. Photo: Sharp; halo reads.</t>
        </is>
      </c>
    </row>
    <row r="82" ht="26" customHeight="1">
      <c r="A82" s="71" t="inlineStr">
        <is>
          <t>LIVE-25</t>
        </is>
      </c>
      <c r="B82" s="60" t="inlineStr">
        <is>
          <t>Verdant Eternity Band</t>
        </is>
      </c>
      <c r="C82" s="72" t="inlineStr">
        <is>
          <t>Live · Rs 1,899 · in stock · photo 7/10</t>
        </is>
      </c>
      <c r="D82" s="73" t="n">
        <v>8</v>
      </c>
      <c r="E82" s="72" t="inlineStr">
        <is>
          <t>Emerald half-eternity; green stones sell out 56 percent at Palmonas, above their range average. Photo: Hand shot; stones a little lost.</t>
        </is>
      </c>
    </row>
    <row r="83" ht="26" customHeight="1">
      <c r="A83" s="71" t="inlineStr">
        <is>
          <t>LIVE-31</t>
        </is>
      </c>
      <c r="B83" s="60" t="inlineStr">
        <is>
          <t>Cushion Halo Ring</t>
        </is>
      </c>
      <c r="C83" s="72" t="inlineStr">
        <is>
          <t>Live · Rs 1,199 · out of stock · photo 6/10</t>
        </is>
      </c>
      <c r="D83" s="73" t="n">
        <v>8</v>
      </c>
      <c r="E83" s="72" t="inlineStr">
        <is>
          <t>Cushion halo solitaire in silver; evergreen, entry price. Photo: Tiny in frame on a tall cube.</t>
        </is>
      </c>
    </row>
    <row r="84" ht="26" customHeight="1">
      <c r="A84" s="71" t="inlineStr">
        <is>
          <t>CAP-sage-vine-band</t>
        </is>
      </c>
      <c r="B84" s="60" t="inlineStr">
        <is>
          <t>Sage Vine Band</t>
        </is>
      </c>
      <c r="C84" s="72" t="inlineStr">
        <is>
          <t>Pre-order capsule · Rs 3,200 internal · 18k plated · photo 9/10</t>
        </is>
      </c>
      <c r="D84" s="73" t="n">
        <v>7</v>
      </c>
      <c r="E84" s="72" t="inlineStr">
        <is>
          <t>Leaf and vine pieces have the highest sell-through of any motif at Palmonas at 60 percent, on only 44 SKUs; demand exceeds supply and this is the capsule's entry ring. Photo: Delicate; reads well.</t>
        </is>
      </c>
    </row>
    <row r="85" ht="26" customHeight="1">
      <c r="A85" s="71" t="inlineStr">
        <is>
          <t>CAP-bloom-studs</t>
        </is>
      </c>
      <c r="B85" s="60" t="inlineStr">
        <is>
          <t>Bloom Studs</t>
        </is>
      </c>
      <c r="C85" s="72" t="inlineStr">
        <is>
          <t>Pre-order capsule · Rs 2,900 internal · 18k plated · photo 9/10</t>
        </is>
      </c>
      <c r="D85" s="73" t="n">
        <v>7</v>
      </c>
      <c r="E85" s="72" t="inlineStr">
        <is>
          <t>Daisy studs with a sage cabochon; a daisy necklace sits in Palmonas' bestseller list, and at Rs 2,900 this is the capsule's most accessible piece. Photo: Clean.</t>
        </is>
      </c>
    </row>
    <row r="86" ht="26" customHeight="1">
      <c r="A86" s="71" t="inlineStr">
        <is>
          <t>AUD-R47 YF2896-VRD</t>
        </is>
      </c>
      <c r="B86" s="60" t="inlineStr">
        <is>
          <t>Princess Solitaire Studs — Verdant</t>
        </is>
      </c>
      <c r="C86" s="72" t="inlineStr">
        <is>
          <t>Type Audit · Rs 1,499 · New factory · photo 6/10</t>
        </is>
      </c>
      <c r="D86" s="73" t="n">
        <v>7</v>
      </c>
      <c r="E86" s="72" t="inlineStr">
        <is>
          <t>Green princess studs; emerald tone carries festive pull. Photo: Small in frame.</t>
        </is>
      </c>
    </row>
    <row r="87" ht="26" customHeight="1">
      <c r="A87" s="71" t="inlineStr">
        <is>
          <t>AUD-R62 YF7034-GLD</t>
        </is>
      </c>
      <c r="B87" s="60" t="inlineStr">
        <is>
          <t>Verdant Dewdrop Earrings</t>
        </is>
      </c>
      <c r="C87" s="72" t="inlineStr">
        <is>
          <t>Type Audit · Rs 1,999 · New factory · photo 5/10</t>
        </is>
      </c>
      <c r="D87" s="73" t="n">
        <v>7</v>
      </c>
      <c r="E87" s="72" t="inlineStr">
        <is>
          <t>Light-green pear drops; green drops carry festive pull. Photo: Raw white-ground shot, not on the plinth.</t>
        </is>
      </c>
    </row>
    <row r="88" ht="26" customHeight="1">
      <c r="A88" s="71" t="inlineStr">
        <is>
          <t>AUD-R67 E19712C</t>
        </is>
      </c>
      <c r="B88" s="60" t="inlineStr">
        <is>
          <t>Verdant Cushion Studs</t>
        </is>
      </c>
      <c r="C88" s="72" t="inlineStr">
        <is>
          <t>Type Audit · Rs 2,199 · Edition One · photo 8/10</t>
        </is>
      </c>
      <c r="D88" s="73" t="n">
        <v>8</v>
      </c>
      <c r="E88" s="72" t="inlineStr">
        <is>
          <t>Emerald cushion halo studs; festive and wedding-guest gifting. Photo: Plinth.</t>
        </is>
      </c>
    </row>
    <row r="90" ht="20" customHeight="1">
      <c r="A90" s="68" t="inlineStr">
        <is>
          <t>SOLITAIRE AND HALO · the default gift</t>
        </is>
      </c>
    </row>
    <row r="91">
      <c r="A91" s="69" t="inlineStr">
        <is>
          <t>Model</t>
        </is>
      </c>
      <c r="B91" s="69" t="inlineStr">
        <is>
          <t>Product</t>
        </is>
      </c>
      <c r="C91" s="69" t="inlineStr">
        <is>
          <t>Material</t>
        </is>
      </c>
      <c r="D91" s="70" t="inlineStr">
        <is>
          <t>Rt</t>
        </is>
      </c>
      <c r="E91" s="69" t="inlineStr">
        <is>
          <t>Why it earns a slot</t>
        </is>
      </c>
    </row>
    <row r="92" ht="26" customHeight="1">
      <c r="A92" s="71" t="inlineStr">
        <is>
          <t>LIVE-19</t>
        </is>
      </c>
      <c r="B92" s="60" t="inlineStr">
        <is>
          <t>First Light Set</t>
        </is>
      </c>
      <c r="C92" s="72" t="inlineStr">
        <is>
          <t>Live · Rs 1,199 · in stock · photo 7/10</t>
        </is>
      </c>
      <c r="D92" s="73" t="n">
        <v>7</v>
      </c>
      <c r="E92" s="72" t="inlineStr">
        <is>
          <t>Solitaire pendant plus studs gift set at Rs 1,199; sets convert on gifting even if velocity is lower. Photo: Set reads, pieces are small.</t>
        </is>
      </c>
    </row>
    <row r="93" ht="26" customHeight="1">
      <c r="A93" s="71" t="inlineStr">
        <is>
          <t>LIVE-23</t>
        </is>
      </c>
      <c r="B93" s="60" t="inlineStr">
        <is>
          <t>Vintage Halo Ring</t>
        </is>
      </c>
      <c r="C93" s="72" t="inlineStr">
        <is>
          <t>Live · Rs 999 · in stock · photo 7/10</t>
        </is>
      </c>
      <c r="D93" s="73" t="n">
        <v>7</v>
      </c>
      <c r="E93" s="72" t="inlineStr">
        <is>
          <t>Round halo with milgrain in silver; solid solitaire pull, the vintage detail is a plus. Photo: Small in frame.</t>
        </is>
      </c>
    </row>
    <row r="94" ht="26" customHeight="1">
      <c r="A94" s="71" t="inlineStr">
        <is>
          <t>LIVE-41</t>
        </is>
      </c>
      <c r="B94" s="60" t="inlineStr">
        <is>
          <t>Solitaire Whisper Studs</t>
        </is>
      </c>
      <c r="C94" s="72" t="inlineStr">
        <is>
          <t>Live · Rs 1,099 · in stock · photo 8/10</t>
        </is>
      </c>
      <c r="D94" s="73" t="n">
        <v>8</v>
      </c>
      <c r="E94" s="72" t="inlineStr">
        <is>
          <t>Cushion halo studs in silver; the default gift stud. Photo: Sharp.</t>
        </is>
      </c>
    </row>
    <row r="95" ht="26" customHeight="1">
      <c r="A95" s="71" t="inlineStr">
        <is>
          <t>AUD-R45 YF2896-CLR</t>
        </is>
      </c>
      <c r="B95" s="60" t="inlineStr">
        <is>
          <t>Princess Solitaire Studs</t>
        </is>
      </c>
      <c r="C95" s="72" t="inlineStr">
        <is>
          <t>Type Audit · Rs 1,499 · New factory · photo 6/10</t>
        </is>
      </c>
      <c r="D95" s="73" t="n">
        <v>8</v>
      </c>
      <c r="E95" s="72" t="inlineStr">
        <is>
          <t>Princess-cut solitaire studs; the default gift stud in a sharper cut. Photo: Small in frame on a tall cube.</t>
        </is>
      </c>
    </row>
    <row r="97" ht="20" customHeight="1">
      <c r="A97" s="68" t="inlineStr">
        <is>
          <t>PRE-ORDER CAPSULE · botanical, priced above the band</t>
        </is>
      </c>
    </row>
    <row r="98">
      <c r="A98" s="69" t="inlineStr">
        <is>
          <t>Model</t>
        </is>
      </c>
      <c r="B98" s="69" t="inlineStr">
        <is>
          <t>Product</t>
        </is>
      </c>
      <c r="C98" s="69" t="inlineStr">
        <is>
          <t>Material</t>
        </is>
      </c>
      <c r="D98" s="70" t="inlineStr">
        <is>
          <t>Rt</t>
        </is>
      </c>
      <c r="E98" s="69" t="inlineStr">
        <is>
          <t>Why it earns a slot</t>
        </is>
      </c>
    </row>
    <row r="99" ht="26" customHeight="1">
      <c r="A99" s="71" t="inlineStr">
        <is>
          <t>CAP-zircone-solitaire</t>
        </is>
      </c>
      <c r="B99" s="60" t="inlineStr">
        <is>
          <t>The Zircone Solitaire</t>
        </is>
      </c>
      <c r="C99" s="72" t="inlineStr">
        <is>
          <t>Pre-order capsule · Rs 4,500 internal · 18k plated · photo 9/10</t>
        </is>
      </c>
      <c r="D99" s="75" t="n">
        <v>5</v>
      </c>
      <c r="E99" s="72" t="inlineStr">
        <is>
          <t>A round solitaire is a nine motif, but Rs 4,500 plated sits above every demi-fine p95 and Rs 800 under Palmonas' cheapest 9kt gold lab-diamond piece; the shopper compares it to real gold. Photo: Beautiful render; reads as fine jewellery, but no skin or scale reference anywhere.</t>
        </is>
      </c>
    </row>
    <row r="100" ht="26" customHeight="1">
      <c r="A100" s="71" t="inlineStr">
        <is>
          <t>CAP-zircone-halo-studs</t>
        </is>
      </c>
      <c r="B100" s="60" t="inlineStr">
        <is>
          <t>Zircone Halo Studs</t>
        </is>
      </c>
      <c r="C100" s="72" t="inlineStr">
        <is>
          <t>Pre-order capsule · Rs 3,600 internal · 18k plated · photo 9/10</t>
        </is>
      </c>
      <c r="D100" s="75" t="n">
        <v>6</v>
      </c>
      <c r="E100" s="72" t="inlineStr">
        <is>
          <t>Halo studs are the default gift stud; Rs 3,600 is above their earring p75 of Rs 2,785 but still clearly under gold. Photo: Crisp; halo reads.</t>
        </is>
      </c>
    </row>
    <row r="101" ht="26" customHeight="1">
      <c r="A101" s="71" t="inlineStr">
        <is>
          <t>CAP-marigold-signet-ring</t>
        </is>
      </c>
      <c r="B101" s="60" t="inlineStr">
        <is>
          <t>Marigold Signet Ring</t>
        </is>
      </c>
      <c r="C101" s="72" t="inlineStr">
        <is>
          <t>Pre-order capsule · Rs 3,900 internal · 18k plated · photo 9/10</t>
        </is>
      </c>
      <c r="D101" s="75" t="n">
        <v>6</v>
      </c>
      <c r="E101" s="72" t="inlineStr">
        <is>
          <t>A textured marigold with a blush stone is the most brand-defining piece in the capsule; floral sells out 49 percent at Palmonas, but Rs 3,900 is nearly double their floral median. Photo: Texture is superb; a hand shot would fix the scale question.</t>
        </is>
      </c>
    </row>
    <row r="102" ht="26" customHeight="1">
      <c r="A102" s="71" t="inlineStr">
        <is>
          <t>CAP-pressed-petal-drops</t>
        </is>
      </c>
      <c r="B102" s="60" t="inlineStr">
        <is>
          <t>Pressed Petal Drops</t>
        </is>
      </c>
      <c r="C102" s="72" t="inlineStr">
        <is>
          <t>Pre-order capsule · Rs 4,800 internal · 18k plated · photo 9/10</t>
        </is>
      </c>
      <c r="D102" s="75" t="n">
        <v>6</v>
      </c>
      <c r="E102" s="72" t="inlineStr">
        <is>
          <t>Real pressed flowers in resin is a format Palmonas does not carry at all; distinctive and giftable, but Rs 4,800 and resin-durability questions narrow the buyer. Photo: Petal detail is the story; the render tells it.</t>
        </is>
      </c>
    </row>
    <row r="103" ht="26" customHeight="1">
      <c r="A103" s="71" t="inlineStr">
        <is>
          <t>CAP-chandbali-florale</t>
        </is>
      </c>
      <c r="B103" s="60" t="inlineStr">
        <is>
          <t>Chandbali Florale</t>
        </is>
      </c>
      <c r="C103" s="72" t="inlineStr">
        <is>
          <t>Pre-order capsule · Rs 5,600 internal · 18k plated · photo 9/10</t>
        </is>
      </c>
      <c r="D103" s="73" t="n">
        <v>7</v>
      </c>
      <c r="E103" s="72" t="inlineStr">
        <is>
          <t>Palmonas has one chandbali in demi-fine and it is sold out; their ethnic pieces sell out 60 percent at a Rs 3,709 median. An underserved pocket, and this owns it, if Rs 5,600 holds. Photo: Filigree reads; would sing on a model.</t>
        </is>
      </c>
    </row>
  </sheetData>
  <mergeCells count="9">
    <mergeCell ref="A53:E53"/>
    <mergeCell ref="A4:E4"/>
    <mergeCell ref="A78:E78"/>
    <mergeCell ref="A2:E2"/>
    <mergeCell ref="A28:E28"/>
    <mergeCell ref="A90:E90"/>
    <mergeCell ref="A1:E1"/>
    <mergeCell ref="A97:E97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2026-09-22T00:12:14Z</dcterms:created>
  <dcterms:modified xsi:type="dcterms:W3CDTF">2026-09-22T00:12:14Z</dcterms:modified>
</cp:coreProperties>
</file>